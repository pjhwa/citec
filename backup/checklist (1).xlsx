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점검표" sheetId="1" state="visible" r:id="rId1"/>
    <sheet xmlns:r="http://schemas.openxmlformats.org/officeDocument/2006/relationships" name="항목 근거·변경사유" sheetId="2" state="visible" r:id="rId2"/>
  </sheets>
  <definedNames/>
  <calcPr calcId="124519" calcMode="auto"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5"/>
    </font>
    <font>
      <name val="Arial"/>
      <i val="1"/>
      <color rgb="00C00000"/>
      <sz val="9"/>
    </font>
    <font>
      <name val="Arial"/>
      <b val="1"/>
      <color rgb="00FFFFFF"/>
      <sz val="11"/>
    </font>
    <font>
      <name val="Arial"/>
      <b val="1"/>
      <sz val="10"/>
    </font>
    <font>
      <name val="Arial"/>
      <sz val="10"/>
    </font>
    <font>
      <name val="Arial"/>
      <b val="1"/>
      <color rgb="00FFFFFF"/>
      <sz val="10"/>
    </font>
    <font>
      <name val="Arial"/>
      <b val="1"/>
      <color rgb="00FFFFFF"/>
      <sz val="10.5"/>
    </font>
    <font>
      <name val="Arial"/>
      <b val="1"/>
      <color rgb="00C00000"/>
      <sz val="11"/>
    </font>
    <font>
      <name val="Arial"/>
      <color rgb="00808080"/>
      <sz val="10"/>
    </font>
    <font>
      <name val="Arial"/>
      <b val="1"/>
      <color rgb="00FFFFFF"/>
      <sz val="12"/>
    </font>
    <font>
      <name val="Arial"/>
      <b val="1"/>
      <sz val="11"/>
    </font>
    <font>
      <name val="Arial"/>
      <b val="1"/>
      <color rgb="00FFFFFF"/>
      <sz val="13"/>
    </font>
    <font>
      <name val="Arial"/>
      <b val="1"/>
      <sz val="14"/>
    </font>
    <font>
      <name val="Arial"/>
      <i val="1"/>
      <color rgb="00404040"/>
      <sz val="9"/>
    </font>
    <font>
      <name val="Arial"/>
      <b val="1"/>
      <color rgb="00FFFFFF"/>
      <sz val="14"/>
    </font>
    <font>
      <name val="Arial"/>
      <sz val="9.5"/>
    </font>
    <font>
      <name val="Arial"/>
      <b val="1"/>
      <color rgb="00C00000"/>
      <sz val="9.5"/>
    </font>
  </fonts>
  <fills count="15">
    <fill>
      <patternFill/>
    </fill>
    <fill>
      <patternFill patternType="gray125"/>
    </fill>
    <fill>
      <patternFill patternType="solid">
        <fgColor rgb="001F3864"/>
      </patternFill>
    </fill>
    <fill>
      <patternFill patternType="solid">
        <fgColor rgb="00305496"/>
      </patternFill>
    </fill>
    <fill>
      <patternFill patternType="solid">
        <fgColor rgb="00DDEBF7"/>
      </patternFill>
    </fill>
    <fill>
      <patternFill patternType="solid">
        <fgColor rgb="008EAADB"/>
      </patternFill>
    </fill>
    <fill>
      <patternFill patternType="solid">
        <fgColor rgb="00FFFDE7"/>
      </patternFill>
    </fill>
    <fill>
      <patternFill patternType="solid">
        <fgColor rgb="00FFF2CC"/>
      </patternFill>
    </fill>
    <fill>
      <patternFill patternType="solid">
        <fgColor rgb="00EEEEEE"/>
      </patternFill>
    </fill>
    <fill>
      <patternFill patternType="solid">
        <fgColor rgb="002E5496"/>
      </patternFill>
    </fill>
    <fill>
      <patternFill patternType="solid">
        <fgColor rgb="00C6E0B4"/>
      </patternFill>
    </fill>
    <fill>
      <patternFill patternType="solid">
        <fgColor rgb="00F2F2F2"/>
      </patternFill>
    </fill>
    <fill>
      <patternFill patternType="solid">
        <fgColor rgb="00FFE699"/>
      </patternFill>
    </fill>
    <fill>
      <patternFill patternType="solid">
        <fgColor rgb="00BDD7EE"/>
      </patternFill>
    </fill>
    <fill>
      <patternFill patternType="solid">
        <fgColor rgb="00F4B0A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wrapText="1"/>
    </xf>
    <xf numFmtId="0" fontId="3" fillId="3" borderId="0" applyAlignment="1" pivotButton="0" quotePrefix="0" xfId="0">
      <alignment horizontal="left" vertical="center" indent="1"/>
    </xf>
    <xf numFmtId="0" fontId="4" fillId="4" borderId="1" applyAlignment="1" pivotButton="0" quotePrefix="0" xfId="0">
      <alignment horizontal="left" vertical="center" indent="1"/>
    </xf>
    <xf numFmtId="0" fontId="0" fillId="0" borderId="1" pivotButton="0" quotePrefix="0" xfId="0"/>
    <xf numFmtId="0" fontId="5" fillId="0" borderId="1" applyAlignment="1" pivotButton="0" quotePrefix="0" xfId="0">
      <alignment horizontal="left" vertical="center" indent="1"/>
    </xf>
    <xf numFmtId="0" fontId="6" fillId="5" borderId="1" applyAlignment="1" pivotButton="0" quotePrefix="0" xfId="0">
      <alignment horizontal="center" vertical="center" wrapText="1"/>
    </xf>
    <xf numFmtId="0" fontId="7" fillId="3" borderId="1" applyAlignment="1" pivotButton="0" quotePrefix="0" xfId="0">
      <alignment horizontal="left" vertical="center" indent="1"/>
    </xf>
    <xf numFmtId="0" fontId="5" fillId="0" borderId="1" applyAlignment="1" pivotButton="0" quotePrefix="0" xfId="0">
      <alignment horizontal="center" vertical="center"/>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0" fontId="5" fillId="6" borderId="1" applyAlignment="1" pivotButton="0" quotePrefix="0" xfId="0">
      <alignment horizontal="center" vertical="center"/>
    </xf>
    <xf numFmtId="0" fontId="8" fillId="0" borderId="1" applyAlignment="1" pivotButton="0" quotePrefix="0" xfId="0">
      <alignment horizontal="center" vertical="center"/>
    </xf>
    <xf numFmtId="0" fontId="5" fillId="7" borderId="1" applyAlignment="1" pivotButton="0" quotePrefix="0" xfId="0">
      <alignment horizontal="center" vertical="center"/>
    </xf>
    <xf numFmtId="0" fontId="5" fillId="7" borderId="1" applyAlignment="1" pivotButton="0" quotePrefix="0" xfId="0">
      <alignment horizontal="left" vertical="center" wrapText="1" indent="1"/>
    </xf>
    <xf numFmtId="0" fontId="9" fillId="8" borderId="1" applyAlignment="1" pivotButton="0" quotePrefix="0" xfId="0">
      <alignment horizontal="center" vertical="center"/>
    </xf>
    <xf numFmtId="0" fontId="10" fillId="2" borderId="0" applyAlignment="1" pivotButton="0" quotePrefix="0" xfId="0">
      <alignment horizontal="left" vertical="center" indent="1"/>
    </xf>
    <xf numFmtId="0" fontId="11" fillId="0" borderId="1" applyAlignment="1" pivotButton="0" quotePrefix="0" xfId="0">
      <alignment horizontal="center" vertical="center"/>
    </xf>
    <xf numFmtId="0" fontId="12" fillId="9" borderId="1" applyAlignment="1" pivotButton="0" quotePrefix="0" xfId="0">
      <alignment horizontal="left" vertical="center" indent="1"/>
    </xf>
    <xf numFmtId="0" fontId="13" fillId="0" borderId="1" applyAlignment="1" pivotButton="0" quotePrefix="0" xfId="0">
      <alignment horizontal="center" vertical="center"/>
    </xf>
    <xf numFmtId="0" fontId="14" fillId="0" borderId="0" applyAlignment="1" pivotButton="0" quotePrefix="0" xfId="0">
      <alignment horizontal="left" vertical="center" indent="1"/>
    </xf>
    <xf numFmtId="0" fontId="0" fillId="0" borderId="5" pivotButton="0" quotePrefix="0" xfId="0"/>
    <xf numFmtId="0" fontId="0" fillId="0" borderId="4" pivotButton="0" quotePrefix="0" xfId="0"/>
    <xf numFmtId="0" fontId="15" fillId="2" borderId="0" applyAlignment="1" pivotButton="0" quotePrefix="0" xfId="0">
      <alignment horizontal="center" vertical="center"/>
    </xf>
    <xf numFmtId="0" fontId="2" fillId="0" borderId="0" applyAlignment="1" pivotButton="0" quotePrefix="0" xfId="0">
      <alignment horizontal="left" vertical="center" indent="1"/>
    </xf>
    <xf numFmtId="0" fontId="6" fillId="3" borderId="1" applyAlignment="1" pivotButton="0" quotePrefix="0" xfId="0">
      <alignment horizontal="left" vertical="center" indent="1"/>
    </xf>
    <xf numFmtId="0" fontId="16" fillId="0" borderId="1" applyAlignment="1" pivotButton="0" quotePrefix="0" xfId="0">
      <alignment horizontal="center" vertical="top" wrapText="1"/>
    </xf>
    <xf numFmtId="0" fontId="16" fillId="10" borderId="1" applyAlignment="1" pivotButton="0" quotePrefix="0" xfId="0">
      <alignment horizontal="center" vertical="top" wrapText="1"/>
    </xf>
    <xf numFmtId="0" fontId="16" fillId="0" borderId="1" applyAlignment="1" pivotButton="0" quotePrefix="0" xfId="0">
      <alignment horizontal="left" vertical="top" wrapText="1" indent="1"/>
    </xf>
    <xf numFmtId="0" fontId="17" fillId="7" borderId="1" applyAlignment="1" pivotButton="0" quotePrefix="0" xfId="0">
      <alignment horizontal="center" vertical="top" wrapText="1"/>
    </xf>
    <xf numFmtId="0" fontId="16" fillId="11" borderId="1" applyAlignment="1" pivotButton="0" quotePrefix="0" xfId="0">
      <alignment horizontal="center" vertical="top" wrapText="1"/>
    </xf>
    <xf numFmtId="0" fontId="16" fillId="12" borderId="1" applyAlignment="1" pivotButton="0" quotePrefix="0" xfId="0">
      <alignment horizontal="center" vertical="top" wrapText="1"/>
    </xf>
    <xf numFmtId="0" fontId="16" fillId="13" borderId="1" applyAlignment="1" pivotButton="0" quotePrefix="0" xfId="0">
      <alignment horizontal="center" vertical="top" wrapText="1"/>
    </xf>
    <xf numFmtId="0" fontId="16" fillId="14" borderId="1" applyAlignment="1" pivotButton="0" quotePrefix="0" xfId="0">
      <alignment horizontal="center" vertical="top" wrapText="1"/>
    </xf>
  </cellXfs>
  <cellStyles count="1">
    <cellStyle name="Normal" xfId="0" builtinId="0" hidden="0"/>
  </cellStyles>
  <dxfs count="5">
    <dxf>
      <font>
        <name val="Arial"/>
        <b val="1"/>
        <color rgb="00C00000"/>
      </font>
      <fill>
        <patternFill patternType="solid">
          <fgColor rgb="00F8CBAD"/>
        </patternFill>
      </fill>
    </dxf>
    <dxf>
      <font>
        <name val="Arial"/>
        <color rgb="00006100"/>
      </font>
      <fill>
        <patternFill patternType="solid">
          <fgColor rgb="00C6EFCE"/>
        </patternFill>
      </fill>
    </dxf>
    <dxf>
      <font>
        <name val="Arial"/>
        <b val="1"/>
        <color rgb="00FFFFFF"/>
        <sz val="14"/>
      </font>
      <fill>
        <patternFill patternType="solid">
          <fgColor rgb="00FF0000"/>
        </patternFill>
      </fill>
    </dxf>
    <dxf>
      <font>
        <name val="Arial"/>
        <b val="1"/>
        <color rgb="00000000"/>
        <sz val="14"/>
      </font>
      <fill>
        <patternFill patternType="solid">
          <fgColor rgb="00FFC000"/>
        </patternFill>
      </fill>
    </dxf>
    <dxf>
      <font>
        <name val="Arial"/>
        <b val="1"/>
        <color rgb="00FFFFFF"/>
        <sz val="14"/>
      </font>
      <fill>
        <patternFill patternType="solid">
          <f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
  <sheetViews>
    <sheetView showGridLines="0" workbookViewId="0">
      <pane ySplit="14" topLeftCell="A15" activePane="bottomLeft" state="frozen"/>
      <selection pane="bottomLeft" activeCell="A1" sqref="A1"/>
    </sheetView>
  </sheetViews>
  <sheetFormatPr baseColWidth="8" defaultRowHeight="15"/>
  <cols>
    <col width="7" customWidth="1" min="1" max="1"/>
    <col width="46" customWidth="1" min="2" max="2"/>
    <col width="24" customWidth="1" min="3" max="3"/>
    <col width="16" customWidth="1" min="4" max="4"/>
    <col width="9" customWidth="1" min="5" max="5"/>
    <col width="7" customWidth="1" min="6" max="6"/>
    <col width="30" customWidth="1" min="7" max="7"/>
  </cols>
  <sheetData>
    <row r="1" ht="30" customHeight="1">
      <c r="A1" s="1" t="inlineStr">
        <is>
          <t>대규모 집중 트랜잭션 이벤트 사전 성능 점검 체크리스트 (v3)</t>
        </is>
      </c>
    </row>
    <row r="2" ht="26" customHeight="1">
      <c r="A2" s="2" t="inlineStr">
        <is>
          <t>판정: OK / NG / N/A 드롭다운 선택   |   ★ = Critical (NG 시 즉시 「위험」)   |   회색 「—」행=측정전용(채점제외)   |   각 항목의 추가·수정·통합 사유와 기준 근거는 ▶「항목 근거·변경사유」 시트 참조</t>
        </is>
      </c>
    </row>
    <row r="4" ht="22" customHeight="1">
      <c r="A4" s="3" t="inlineStr">
        <is>
          <t>■ 기본정보</t>
        </is>
      </c>
    </row>
    <row r="5" ht="20" customHeight="1">
      <c r="A5" s="4" t="inlineStr">
        <is>
          <t>시스템명</t>
        </is>
      </c>
      <c r="B5" s="22" t="n"/>
      <c r="C5" s="6" t="inlineStr"/>
      <c r="D5" s="23" t="n"/>
      <c r="E5" s="23" t="n"/>
      <c r="F5" s="23" t="n"/>
      <c r="G5" s="22" t="n"/>
    </row>
    <row r="6" ht="20" customHeight="1">
      <c r="A6" s="4" t="inlineStr">
        <is>
          <t>고객사</t>
        </is>
      </c>
      <c r="B6" s="22" t="n"/>
      <c r="C6" s="6" t="inlineStr"/>
      <c r="D6" s="23" t="n"/>
      <c r="E6" s="23" t="n"/>
      <c r="F6" s="23" t="n"/>
      <c r="G6" s="22" t="n"/>
    </row>
    <row r="7" ht="20" customHeight="1">
      <c r="A7" s="4" t="inlineStr">
        <is>
          <t>이벤트명</t>
        </is>
      </c>
      <c r="B7" s="22" t="n"/>
      <c r="C7" s="6" t="inlineStr"/>
      <c r="D7" s="23" t="n"/>
      <c r="E7" s="23" t="n"/>
      <c r="F7" s="23" t="n"/>
      <c r="G7" s="22" t="n"/>
    </row>
    <row r="8" ht="20" customHeight="1">
      <c r="A8" s="4" t="inlineStr">
        <is>
          <t>이벤트 일시</t>
        </is>
      </c>
      <c r="B8" s="22" t="n"/>
      <c r="C8" s="6" t="inlineStr"/>
      <c r="D8" s="23" t="n"/>
      <c r="E8" s="23" t="n"/>
      <c r="F8" s="23" t="n"/>
      <c r="G8" s="22" t="n"/>
    </row>
    <row r="9" ht="20" customHeight="1">
      <c r="A9" s="4" t="inlineStr">
        <is>
          <t>점검일 / 점검자 / 검토자</t>
        </is>
      </c>
      <c r="B9" s="22" t="n"/>
      <c r="C9" s="6" t="inlineStr"/>
      <c r="D9" s="23" t="n"/>
      <c r="E9" s="23" t="n"/>
      <c r="F9" s="23" t="n"/>
      <c r="G9" s="22" t="n"/>
    </row>
    <row r="10" ht="20" customHeight="1">
      <c r="A10" s="4" t="inlineStr">
        <is>
          <t>예상 / 평시 사용자 수</t>
        </is>
      </c>
      <c r="B10" s="22" t="n"/>
      <c r="C10" s="6" t="inlineStr"/>
      <c r="D10" s="23" t="n"/>
      <c r="E10" s="23" t="n"/>
      <c r="F10" s="23" t="n"/>
      <c r="G10" s="22" t="n"/>
    </row>
    <row r="11" ht="20" customHeight="1">
      <c r="A11" s="4" t="inlineStr">
        <is>
          <t>시스템 구성도(최신본) 확인</t>
        </is>
      </c>
      <c r="B11" s="22" t="n"/>
      <c r="C11" s="6" t="inlineStr">
        <is>
          <t>Y / N</t>
        </is>
      </c>
      <c r="D11" s="23" t="n"/>
      <c r="E11" s="23" t="n"/>
      <c r="F11" s="23" t="n"/>
      <c r="G11" s="22" t="n"/>
    </row>
    <row r="12" ht="20" customHeight="1">
      <c r="A12" s="4" t="inlineStr">
        <is>
          <t>이벤트 종료(롤백) 시각·기준</t>
        </is>
      </c>
      <c r="B12" s="22" t="n"/>
      <c r="C12" s="6" t="inlineStr"/>
      <c r="D12" s="23" t="n"/>
      <c r="E12" s="23" t="n"/>
      <c r="F12" s="23" t="n"/>
      <c r="G12" s="22" t="n"/>
    </row>
    <row r="14" ht="22" customHeight="1">
      <c r="A14" s="7" t="inlineStr">
        <is>
          <t>번호</t>
        </is>
      </c>
      <c r="B14" s="7" t="inlineStr">
        <is>
          <t>점검항목</t>
        </is>
      </c>
      <c r="C14" s="7" t="inlineStr">
        <is>
          <t>기준</t>
        </is>
      </c>
      <c r="D14" s="7" t="inlineStr">
        <is>
          <t>확인값</t>
        </is>
      </c>
      <c r="E14" s="7" t="inlineStr">
        <is>
          <t>판정</t>
        </is>
      </c>
      <c r="F14" s="7" t="inlineStr">
        <is>
          <t>★</t>
        </is>
      </c>
      <c r="G14" s="7" t="inlineStr">
        <is>
          <t>비고</t>
        </is>
      </c>
    </row>
    <row r="15" ht="20" customHeight="1">
      <c r="A15" s="8" t="inlineStr">
        <is>
          <t>0. 진입단 (Web / LB) 점검</t>
        </is>
      </c>
      <c r="B15" s="23" t="n"/>
      <c r="C15" s="23" t="n"/>
      <c r="D15" s="23" t="n"/>
      <c r="E15" s="23" t="n"/>
      <c r="F15" s="23" t="n"/>
      <c r="G15" s="22" t="n"/>
    </row>
    <row r="16" ht="26" customHeight="1">
      <c r="A16" s="9" t="inlineStr">
        <is>
          <t>0-1</t>
        </is>
      </c>
      <c r="B16" s="10" t="inlineStr">
        <is>
          <t>Web MaxRequestWorkers / worker_connections 여유</t>
        </is>
      </c>
      <c r="C16" s="11" t="inlineStr">
        <is>
          <t>예상 동접 대비 ≥150%</t>
        </is>
      </c>
      <c r="D16" s="12" t="inlineStr"/>
      <c r="E16" s="12" t="inlineStr"/>
      <c r="F16" s="13" t="inlineStr"/>
      <c r="G16" s="9" t="inlineStr"/>
    </row>
    <row r="17" ht="26" customHeight="1">
      <c r="A17" s="9" t="inlineStr">
        <is>
          <t>0-2</t>
        </is>
      </c>
      <c r="B17" s="10" t="inlineStr">
        <is>
          <t>L4/L7 동시 세션 한계 대비 예상치</t>
        </is>
      </c>
      <c r="C17" s="11" t="inlineStr">
        <is>
          <t>한계의 70% 이하</t>
        </is>
      </c>
      <c r="D17" s="12" t="inlineStr"/>
      <c r="E17" s="12" t="inlineStr"/>
      <c r="F17" s="13" t="inlineStr"/>
      <c r="G17" s="9" t="inlineStr"/>
    </row>
    <row r="18" ht="26" customHeight="1">
      <c r="A18" s="9" t="inlineStr">
        <is>
          <t>0-3</t>
        </is>
      </c>
      <c r="B18" s="10" t="inlineStr">
        <is>
          <t>신규 세션 처리율(CPS) 한계 대비 예상치</t>
        </is>
      </c>
      <c r="C18" s="11" t="inlineStr">
        <is>
          <t>한계의 70% 이하</t>
        </is>
      </c>
      <c r="D18" s="12" t="inlineStr"/>
      <c r="E18" s="12" t="inlineStr"/>
      <c r="F18" s="13" t="inlineStr"/>
      <c r="G18" s="9" t="inlineStr"/>
    </row>
    <row r="19" ht="26" customHeight="1">
      <c r="A19" s="9" t="inlineStr">
        <is>
          <t>0-4</t>
        </is>
      </c>
      <c r="B19" s="10" t="inlineStr">
        <is>
          <t>SSL/TLS 핸드셰이크 부하·세션캐시·오프로드</t>
        </is>
      </c>
      <c r="C19" s="11" t="inlineStr">
        <is>
          <t>적용 권고</t>
        </is>
      </c>
      <c r="D19" s="12" t="inlineStr"/>
      <c r="E19" s="12" t="inlineStr"/>
      <c r="F19" s="13" t="inlineStr"/>
      <c r="G19" s="9" t="inlineStr"/>
    </row>
    <row r="20" ht="26" customHeight="1">
      <c r="A20" s="9" t="inlineStr">
        <is>
          <t>0-5</t>
        </is>
      </c>
      <c r="B20" s="10" t="inlineStr">
        <is>
          <t>KeepAlive timeout / 백엔드 연결 재사용</t>
        </is>
      </c>
      <c r="C20" s="11" t="inlineStr">
        <is>
          <t>점검</t>
        </is>
      </c>
      <c r="D20" s="12" t="inlineStr"/>
      <c r="E20" s="12" t="inlineStr"/>
      <c r="F20" s="13" t="inlineStr"/>
      <c r="G20" s="9" t="inlineStr"/>
    </row>
    <row r="21" ht="26" customHeight="1">
      <c r="A21" s="14" t="inlineStr">
        <is>
          <t>0-6</t>
        </is>
      </c>
      <c r="B21" s="15" t="inlineStr">
        <is>
          <t>방화벽·LB 세션테이블(conntrack) 한계</t>
        </is>
      </c>
      <c r="C21" s="11" t="inlineStr">
        <is>
          <t>여유 확보</t>
        </is>
      </c>
      <c r="D21" s="12" t="inlineStr"/>
      <c r="E21" s="12" t="inlineStr"/>
      <c r="F21" s="13" t="inlineStr">
        <is>
          <t>★</t>
        </is>
      </c>
      <c r="G21" s="9" t="inlineStr"/>
    </row>
    <row r="22" ht="20" customHeight="1">
      <c r="A22" s="8" t="inlineStr">
        <is>
          <t>1. 이벤트 규모 점검</t>
        </is>
      </c>
      <c r="B22" s="23" t="n"/>
      <c r="C22" s="23" t="n"/>
      <c r="D22" s="23" t="n"/>
      <c r="E22" s="23" t="n"/>
      <c r="F22" s="23" t="n"/>
      <c r="G22" s="22" t="n"/>
    </row>
    <row r="23" ht="26" customHeight="1">
      <c r="A23" s="9" t="inlineStr">
        <is>
          <t>1-1</t>
        </is>
      </c>
      <c r="B23" s="10" t="inlineStr">
        <is>
          <t>평시 동시접속자 수</t>
        </is>
      </c>
      <c r="C23" s="11" t="inlineStr">
        <is>
          <t>-</t>
        </is>
      </c>
      <c r="D23" s="12" t="inlineStr"/>
      <c r="E23" s="16" t="inlineStr">
        <is>
          <t>—</t>
        </is>
      </c>
      <c r="F23" s="13" t="inlineStr"/>
      <c r="G23" s="9" t="inlineStr"/>
    </row>
    <row r="24" ht="26" customHeight="1">
      <c r="A24" s="9" t="inlineStr">
        <is>
          <t>1-2</t>
        </is>
      </c>
      <c r="B24" s="10" t="inlineStr">
        <is>
          <t>예상 최대 동시접속자 수</t>
        </is>
      </c>
      <c r="C24" s="11" t="inlineStr">
        <is>
          <t>-</t>
        </is>
      </c>
      <c r="D24" s="12" t="inlineStr"/>
      <c r="E24" s="16" t="inlineStr">
        <is>
          <t>—</t>
        </is>
      </c>
      <c r="F24" s="13" t="inlineStr"/>
      <c r="G24" s="9" t="inlineStr"/>
    </row>
    <row r="25" ht="26" customHeight="1">
      <c r="A25" s="9" t="inlineStr">
        <is>
          <t>1-3</t>
        </is>
      </c>
      <c r="B25" s="10" t="inlineStr">
        <is>
          <t>사용자 증가율 (6절과 통일)</t>
        </is>
      </c>
      <c r="C25" s="11" t="inlineStr">
        <is>
          <t>120% 이하 권고</t>
        </is>
      </c>
      <c r="D25" s="12" t="inlineStr"/>
      <c r="E25" s="12" t="inlineStr"/>
      <c r="F25" s="13" t="inlineStr"/>
      <c r="G25" s="9" t="inlineStr"/>
    </row>
    <row r="26" ht="26" customHeight="1">
      <c r="A26" s="9" t="inlineStr">
        <is>
          <t>1-4</t>
        </is>
      </c>
      <c r="B26" s="10" t="inlineStr">
        <is>
          <t>기존 성능검증 기준 동접자 수</t>
        </is>
      </c>
      <c r="C26" s="11" t="inlineStr">
        <is>
          <t>-</t>
        </is>
      </c>
      <c r="D26" s="12" t="inlineStr"/>
      <c r="E26" s="16" t="inlineStr">
        <is>
          <t>—</t>
        </is>
      </c>
      <c r="F26" s="13" t="inlineStr"/>
      <c r="G26" s="9" t="inlineStr"/>
    </row>
    <row r="27" ht="26" customHeight="1">
      <c r="A27" s="14" t="inlineStr">
        <is>
          <t>1-5</t>
        </is>
      </c>
      <c r="B27" s="15" t="inlineStr">
        <is>
          <t>검증기준 초과 여부</t>
        </is>
      </c>
      <c r="C27" s="11" t="inlineStr">
        <is>
          <t>초과 시 재검증</t>
        </is>
      </c>
      <c r="D27" s="12" t="inlineStr"/>
      <c r="E27" s="12" t="inlineStr"/>
      <c r="F27" s="13" t="inlineStr">
        <is>
          <t>★</t>
        </is>
      </c>
      <c r="G27" s="9" t="inlineStr"/>
    </row>
    <row r="28" ht="20" customHeight="1">
      <c r="A28" s="8" t="inlineStr">
        <is>
          <t>2. 인프라 자원 점검 — WAS</t>
        </is>
      </c>
      <c r="B28" s="23" t="n"/>
      <c r="C28" s="23" t="n"/>
      <c r="D28" s="23" t="n"/>
      <c r="E28" s="23" t="n"/>
      <c r="F28" s="23" t="n"/>
      <c r="G28" s="22" t="n"/>
    </row>
    <row r="29" ht="26" customHeight="1">
      <c r="A29" s="9" t="inlineStr">
        <is>
          <t>2-1</t>
        </is>
      </c>
      <c r="B29" s="10" t="inlineStr">
        <is>
          <t>WAS 서버 수 / 증설 예정 수량</t>
        </is>
      </c>
      <c r="C29" s="11" t="inlineStr">
        <is>
          <t>-</t>
        </is>
      </c>
      <c r="D29" s="12" t="inlineStr"/>
      <c r="E29" s="16" t="inlineStr">
        <is>
          <t>—</t>
        </is>
      </c>
      <c r="F29" s="13" t="inlineStr"/>
      <c r="G29" s="9" t="inlineStr"/>
    </row>
    <row r="30" ht="26" customHeight="1">
      <c r="A30" s="9" t="inlineStr">
        <is>
          <t>2-2</t>
        </is>
      </c>
      <c r="B30" s="10" t="inlineStr">
        <is>
          <t>CPU Peak 사용률</t>
        </is>
      </c>
      <c r="C30" s="11" t="inlineStr">
        <is>
          <t>70% 이하</t>
        </is>
      </c>
      <c r="D30" s="12" t="inlineStr"/>
      <c r="E30" s="12" t="inlineStr"/>
      <c r="F30" s="13" t="inlineStr"/>
      <c r="G30" s="9" t="inlineStr"/>
    </row>
    <row r="31" ht="26" customHeight="1">
      <c r="A31" s="9" t="inlineStr">
        <is>
          <t>2-3</t>
        </is>
      </c>
      <c r="B31" s="10" t="inlineStr">
        <is>
          <t>JVM Heap(Old Gen) 사용률</t>
        </is>
      </c>
      <c r="C31" s="11" t="inlineStr">
        <is>
          <t>80% 이하</t>
        </is>
      </c>
      <c r="D31" s="12" t="inlineStr"/>
      <c r="E31" s="12" t="inlineStr"/>
      <c r="F31" s="13" t="inlineStr"/>
      <c r="G31" s="9" t="inlineStr"/>
    </row>
    <row r="32" ht="26" customHeight="1">
      <c r="A32" s="9" t="inlineStr">
        <is>
          <t>2-4</t>
        </is>
      </c>
      <c r="B32" s="10" t="inlineStr">
        <is>
          <t>Full GC 빈도 / Pause 시간</t>
        </is>
      </c>
      <c r="C32" s="11" t="inlineStr">
        <is>
          <t>빈번·장시간 없음</t>
        </is>
      </c>
      <c r="D32" s="12" t="inlineStr"/>
      <c r="E32" s="12" t="inlineStr"/>
      <c r="F32" s="13" t="inlineStr"/>
      <c r="G32" s="9" t="inlineStr"/>
    </row>
    <row r="33" ht="26" customHeight="1">
      <c r="A33" s="9" t="inlineStr">
        <is>
          <t>2-5</t>
        </is>
      </c>
      <c r="B33" s="10" t="inlineStr">
        <is>
          <t>Thread Pool 사용률</t>
        </is>
      </c>
      <c r="C33" s="11" t="inlineStr">
        <is>
          <t>80% 이하</t>
        </is>
      </c>
      <c r="D33" s="12" t="inlineStr"/>
      <c r="E33" s="12" t="inlineStr"/>
      <c r="F33" s="13" t="inlineStr"/>
      <c r="G33" s="9" t="inlineStr"/>
    </row>
    <row r="34" ht="26" customHeight="1">
      <c r="A34" s="9" t="inlineStr">
        <is>
          <t>2-6</t>
        </is>
      </c>
      <c r="B34" s="10" t="inlineStr">
        <is>
          <t>Active Thread 수</t>
        </is>
      </c>
      <c r="C34" s="11" t="inlineStr">
        <is>
          <t>-</t>
        </is>
      </c>
      <c r="D34" s="12" t="inlineStr"/>
      <c r="E34" s="16" t="inlineStr">
        <is>
          <t>—</t>
        </is>
      </c>
      <c r="F34" s="13" t="inlineStr"/>
      <c r="G34" s="9" t="inlineStr"/>
    </row>
    <row r="35" ht="26" customHeight="1">
      <c r="A35" s="9" t="inlineStr">
        <is>
          <t>2-7</t>
        </is>
      </c>
      <c r="B35" s="10" t="inlineStr">
        <is>
          <t>Thread Queue 대기건수</t>
        </is>
      </c>
      <c r="C35" s="11" t="inlineStr">
        <is>
          <t>0 건 권고</t>
        </is>
      </c>
      <c r="D35" s="12" t="inlineStr"/>
      <c r="E35" s="12" t="inlineStr"/>
      <c r="F35" s="13" t="inlineStr"/>
      <c r="G35" s="9" t="inlineStr"/>
    </row>
    <row r="36" ht="20" customHeight="1">
      <c r="A36" s="8" t="inlineStr">
        <is>
          <t>2. 인프라 자원 점검 — DB</t>
        </is>
      </c>
      <c r="B36" s="23" t="n"/>
      <c r="C36" s="23" t="n"/>
      <c r="D36" s="23" t="n"/>
      <c r="E36" s="23" t="n"/>
      <c r="F36" s="23" t="n"/>
      <c r="G36" s="22" t="n"/>
    </row>
    <row r="37" ht="26" customHeight="1">
      <c r="A37" s="9" t="inlineStr">
        <is>
          <t>2-8</t>
        </is>
      </c>
      <c r="B37" s="10" t="inlineStr">
        <is>
          <t>DB CPU Peak 사용률</t>
        </is>
      </c>
      <c r="C37" s="11" t="inlineStr">
        <is>
          <t>70% 이하</t>
        </is>
      </c>
      <c r="D37" s="12" t="inlineStr"/>
      <c r="E37" s="12" t="inlineStr"/>
      <c r="F37" s="13" t="inlineStr"/>
      <c r="G37" s="9" t="inlineStr"/>
    </row>
    <row r="38" ht="26" customHeight="1">
      <c r="A38" s="9" t="inlineStr">
        <is>
          <t>2-9</t>
        </is>
      </c>
      <c r="B38" s="10" t="inlineStr">
        <is>
          <t>DB Memory 사용률</t>
        </is>
      </c>
      <c r="C38" s="11" t="inlineStr">
        <is>
          <t>80% 이하</t>
        </is>
      </c>
      <c r="D38" s="12" t="inlineStr"/>
      <c r="E38" s="12" t="inlineStr"/>
      <c r="F38" s="13" t="inlineStr"/>
      <c r="G38" s="9" t="inlineStr"/>
    </row>
    <row r="39" ht="26" customHeight="1">
      <c r="A39" s="9" t="inlineStr">
        <is>
          <t>2-10</t>
        </is>
      </c>
      <c r="B39" s="10" t="inlineStr">
        <is>
          <t>Active / Max Session 수</t>
        </is>
      </c>
      <c r="C39" s="11" t="inlineStr">
        <is>
          <t>-</t>
        </is>
      </c>
      <c r="D39" s="12" t="inlineStr"/>
      <c r="E39" s="16" t="inlineStr">
        <is>
          <t>—</t>
        </is>
      </c>
      <c r="F39" s="13" t="inlineStr"/>
      <c r="G39" s="9" t="inlineStr"/>
    </row>
    <row r="40" ht="26" customHeight="1">
      <c r="A40" s="9" t="inlineStr">
        <is>
          <t>2-11</t>
        </is>
      </c>
      <c r="B40" s="10" t="inlineStr">
        <is>
          <t>Connection Pool 사용률 (채점 대상)</t>
        </is>
      </c>
      <c r="C40" s="11" t="inlineStr">
        <is>
          <t>80% 이하</t>
        </is>
      </c>
      <c r="D40" s="12" t="inlineStr"/>
      <c r="E40" s="12" t="inlineStr"/>
      <c r="F40" s="13" t="inlineStr"/>
      <c r="G40" s="9" t="inlineStr"/>
    </row>
    <row r="41" ht="26" customHeight="1">
      <c r="A41" s="14" t="inlineStr">
        <is>
          <t>2-12</t>
        </is>
      </c>
      <c r="B41" s="15" t="inlineStr">
        <is>
          <t>Lock Wait / Deadlock 발생</t>
        </is>
      </c>
      <c r="C41" s="11" t="inlineStr">
        <is>
          <t>없음</t>
        </is>
      </c>
      <c r="D41" s="12" t="inlineStr"/>
      <c r="E41" s="12" t="inlineStr"/>
      <c r="F41" s="13" t="inlineStr">
        <is>
          <t>★</t>
        </is>
      </c>
      <c r="G41" s="9" t="inlineStr"/>
    </row>
    <row r="42" ht="20" customHeight="1">
      <c r="A42" s="8" t="inlineStr">
        <is>
          <t>2. 인프라 자원 점검 — WAS↔DB 정합성</t>
        </is>
      </c>
      <c r="B42" s="23" t="n"/>
      <c r="C42" s="23" t="n"/>
      <c r="D42" s="23" t="n"/>
      <c r="E42" s="23" t="n"/>
      <c r="F42" s="23" t="n"/>
      <c r="G42" s="22" t="n"/>
    </row>
    <row r="43" ht="26" customHeight="1">
      <c r="A43" s="14" t="inlineStr">
        <is>
          <t>2-13</t>
        </is>
      </c>
      <c r="B43" s="15" t="inlineStr">
        <is>
          <t>(전체 WAS 인스턴스 × 풀 Max) 합 ≤ DB Max Session</t>
        </is>
      </c>
      <c r="C43" s="11" t="inlineStr">
        <is>
          <t>충족</t>
        </is>
      </c>
      <c r="D43" s="12" t="inlineStr"/>
      <c r="E43" s="12" t="inlineStr"/>
      <c r="F43" s="13" t="inlineStr">
        <is>
          <t>★</t>
        </is>
      </c>
      <c r="G43" s="9" t="inlineStr"/>
    </row>
    <row r="44" ht="26" customHeight="1">
      <c r="A44" s="14" t="inlineStr">
        <is>
          <t>2-14</t>
        </is>
      </c>
      <c r="B44" s="15" t="inlineStr">
        <is>
          <t>증설(2-1) 반영 후에도 2-13 충족</t>
        </is>
      </c>
      <c r="C44" s="11" t="inlineStr">
        <is>
          <t>충족</t>
        </is>
      </c>
      <c r="D44" s="12" t="inlineStr"/>
      <c r="E44" s="12" t="inlineStr"/>
      <c r="F44" s="13" t="inlineStr">
        <is>
          <t>★</t>
        </is>
      </c>
      <c r="G44" s="9" t="inlineStr"/>
    </row>
    <row r="45" ht="20" customHeight="1">
      <c r="A45" s="8" t="inlineStr">
        <is>
          <t>3. 채번 및 DB 경합 점검</t>
        </is>
      </c>
      <c r="B45" s="23" t="n"/>
      <c r="C45" s="23" t="n"/>
      <c r="D45" s="23" t="n"/>
      <c r="E45" s="23" t="n"/>
      <c r="F45" s="23" t="n"/>
      <c r="G45" s="22" t="n"/>
    </row>
    <row r="46" ht="26" customHeight="1">
      <c r="A46" s="9" t="inlineStr">
        <is>
          <t>3-1</t>
        </is>
      </c>
      <c r="B46" s="10" t="inlineStr">
        <is>
          <t>채번 동시성 안전 방식 적용 (Select Max 미사용 / Sequence·auto_increment 등)</t>
        </is>
      </c>
      <c r="C46" s="11" t="inlineStr">
        <is>
          <t>적용</t>
        </is>
      </c>
      <c r="D46" s="12" t="inlineStr"/>
      <c r="E46" s="12" t="inlineStr"/>
      <c r="F46" s="13" t="inlineStr"/>
      <c r="G46" s="9" t="inlineStr"/>
    </row>
    <row r="47" ht="26" customHeight="1">
      <c r="A47" s="9" t="inlineStr">
        <is>
          <t>3-2</t>
        </is>
      </c>
      <c r="B47" s="10" t="inlineStr">
        <is>
          <t>최근 Lock 발생 SQL 수</t>
        </is>
      </c>
      <c r="C47" s="11" t="inlineStr">
        <is>
          <t>0 건 권고</t>
        </is>
      </c>
      <c r="D47" s="12" t="inlineStr"/>
      <c r="E47" s="12" t="inlineStr"/>
      <c r="F47" s="13" t="inlineStr"/>
      <c r="G47" s="9" t="inlineStr"/>
    </row>
    <row r="48" ht="26" customHeight="1">
      <c r="A48" s="9" t="inlineStr">
        <is>
          <t>3-3</t>
        </is>
      </c>
      <c r="B48" s="10" t="inlineStr">
        <is>
          <t>동시 Update 집중 테이블 수</t>
        </is>
      </c>
      <c r="C48" s="11" t="inlineStr">
        <is>
          <t>-</t>
        </is>
      </c>
      <c r="D48" s="12" t="inlineStr"/>
      <c r="E48" s="16" t="inlineStr">
        <is>
          <t>—</t>
        </is>
      </c>
      <c r="F48" s="13" t="inlineStr"/>
      <c r="G48" s="9" t="inlineStr"/>
    </row>
    <row r="49" ht="26" customHeight="1">
      <c r="A49" s="14" t="inlineStr">
        <is>
          <t>3-4</t>
        </is>
      </c>
      <c r="B49" s="15" t="inlineStr">
        <is>
          <t>중복 요청 방지 로직 적용</t>
        </is>
      </c>
      <c r="C49" s="11" t="inlineStr">
        <is>
          <t>필수</t>
        </is>
      </c>
      <c r="D49" s="12" t="inlineStr"/>
      <c r="E49" s="12" t="inlineStr"/>
      <c r="F49" s="13" t="inlineStr">
        <is>
          <t>★</t>
        </is>
      </c>
      <c r="G49" s="9" t="inlineStr"/>
    </row>
    <row r="50" ht="20" customHeight="1">
      <c r="A50" s="8" t="inlineStr">
        <is>
          <t>4. SQL 성능 점검</t>
        </is>
      </c>
      <c r="B50" s="23" t="n"/>
      <c r="C50" s="23" t="n"/>
      <c r="D50" s="23" t="n"/>
      <c r="E50" s="23" t="n"/>
      <c r="F50" s="23" t="n"/>
      <c r="G50" s="22" t="n"/>
    </row>
    <row r="51" ht="26" customHeight="1">
      <c r="A51" s="9" t="inlineStr">
        <is>
          <t>4-1</t>
        </is>
      </c>
      <c r="B51" s="10" t="inlineStr">
        <is>
          <t>Slow Query / 1초 초과 SQL 건수</t>
        </is>
      </c>
      <c r="C51" s="11" t="inlineStr">
        <is>
          <t>0 건 권고</t>
        </is>
      </c>
      <c r="D51" s="12" t="inlineStr"/>
      <c r="E51" s="12" t="inlineStr"/>
      <c r="F51" s="13" t="inlineStr"/>
      <c r="G51" s="9" t="inlineStr"/>
    </row>
    <row r="52" ht="26" customHeight="1">
      <c r="A52" s="9" t="inlineStr">
        <is>
          <t>4-2</t>
        </is>
      </c>
      <c r="B52" s="10" t="inlineStr">
        <is>
          <t>Full Scan / Index 미사용 SQL</t>
        </is>
      </c>
      <c r="C52" s="11" t="inlineStr">
        <is>
          <t>0 건 권고</t>
        </is>
      </c>
      <c r="D52" s="12" t="inlineStr"/>
      <c r="E52" s="12" t="inlineStr"/>
      <c r="F52" s="13" t="inlineStr"/>
      <c r="G52" s="9" t="inlineStr"/>
    </row>
    <row r="53" ht="26" customHeight="1">
      <c r="A53" s="9" t="inlineStr">
        <is>
          <t>4-3</t>
        </is>
      </c>
      <c r="B53" s="10" t="inlineStr">
        <is>
          <t>TOP SQL 점검 완료</t>
        </is>
      </c>
      <c r="C53" s="11" t="inlineStr">
        <is>
          <t>완료</t>
        </is>
      </c>
      <c r="D53" s="12" t="inlineStr"/>
      <c r="E53" s="12" t="inlineStr"/>
      <c r="F53" s="13" t="inlineStr"/>
      <c r="G53" s="9" t="inlineStr"/>
    </row>
    <row r="54" ht="26" customHeight="1">
      <c r="A54" s="9" t="inlineStr">
        <is>
          <t>4-4</t>
        </is>
      </c>
      <c r="B54" s="10" t="inlineStr">
        <is>
          <t>통계정보 최신화</t>
        </is>
      </c>
      <c r="C54" s="11" t="inlineStr">
        <is>
          <t>완료</t>
        </is>
      </c>
      <c r="D54" s="12" t="inlineStr"/>
      <c r="E54" s="12" t="inlineStr"/>
      <c r="F54" s="13" t="inlineStr"/>
      <c r="G54" s="9" t="inlineStr"/>
    </row>
    <row r="55" ht="26" customHeight="1">
      <c r="A55" s="9" t="inlineStr">
        <is>
          <t>4-5</t>
        </is>
      </c>
      <c r="B55" s="10" t="inlineStr">
        <is>
          <t>이벤트 시간대 배치/통계/백업 충돌 차단</t>
        </is>
      </c>
      <c r="C55" s="11" t="inlineStr">
        <is>
          <t>충돌 없음</t>
        </is>
      </c>
      <c r="D55" s="12" t="inlineStr"/>
      <c r="E55" s="12" t="inlineStr"/>
      <c r="F55" s="13" t="inlineStr"/>
      <c r="G55" s="9" t="inlineStr"/>
    </row>
    <row r="56" ht="20" customHeight="1">
      <c r="A56" s="8" t="inlineStr">
        <is>
          <t>5. 외부기관 연계 점검</t>
        </is>
      </c>
      <c r="B56" s="23" t="n"/>
      <c r="C56" s="23" t="n"/>
      <c r="D56" s="23" t="n"/>
      <c r="E56" s="23" t="n"/>
      <c r="F56" s="23" t="n"/>
      <c r="G56" s="22" t="n"/>
    </row>
    <row r="57" ht="26" customHeight="1">
      <c r="A57" s="9" t="inlineStr">
        <is>
          <t>5-1</t>
        </is>
      </c>
      <c r="B57" s="10" t="inlineStr">
        <is>
          <t>외부기관 연계 여부 / 연계기관 수</t>
        </is>
      </c>
      <c r="C57" s="11" t="inlineStr">
        <is>
          <t>확인</t>
        </is>
      </c>
      <c r="D57" s="12" t="inlineStr"/>
      <c r="E57" s="12" t="inlineStr"/>
      <c r="F57" s="13" t="inlineStr"/>
      <c r="G57" s="9" t="inlineStr"/>
    </row>
    <row r="58" ht="26" customHeight="1">
      <c r="A58" s="9" t="inlineStr">
        <is>
          <t>5-2</t>
        </is>
      </c>
      <c r="B58" s="10" t="inlineStr">
        <is>
          <t>실제 평균 응답시간</t>
        </is>
      </c>
      <c r="C58" s="11" t="inlineStr">
        <is>
          <t>-</t>
        </is>
      </c>
      <c r="D58" s="12" t="inlineStr"/>
      <c r="E58" s="16" t="inlineStr">
        <is>
          <t>—</t>
        </is>
      </c>
      <c r="F58" s="13" t="inlineStr"/>
      <c r="G58" s="9" t="inlineStr"/>
    </row>
    <row r="59" ht="26" customHeight="1">
      <c r="A59" s="9" t="inlineStr">
        <is>
          <t>5-3</t>
        </is>
      </c>
      <c r="B59" s="10" t="inlineStr">
        <is>
          <t>Timeout 설정</t>
        </is>
      </c>
      <c r="C59" s="11" t="inlineStr">
        <is>
          <t>5~10초 권고</t>
        </is>
      </c>
      <c r="D59" s="12" t="inlineStr"/>
      <c r="E59" s="12" t="inlineStr"/>
      <c r="F59" s="13" t="inlineStr"/>
      <c r="G59" s="9" t="inlineStr"/>
    </row>
    <row r="60" ht="26" customHeight="1">
      <c r="A60" s="14" t="inlineStr">
        <is>
          <t>5-4</t>
        </is>
      </c>
      <c r="B60" s="15" t="inlineStr">
        <is>
          <t>Retry 정책 존재</t>
        </is>
      </c>
      <c r="C60" s="11" t="inlineStr">
        <is>
          <t>필수</t>
        </is>
      </c>
      <c r="D60" s="12" t="inlineStr"/>
      <c r="E60" s="12" t="inlineStr"/>
      <c r="F60" s="13" t="inlineStr">
        <is>
          <t>★</t>
        </is>
      </c>
      <c r="G60" s="9" t="inlineStr"/>
    </row>
    <row r="61" ht="26" customHeight="1">
      <c r="A61" s="9" t="inlineStr">
        <is>
          <t>5-5</t>
        </is>
      </c>
      <c r="B61" s="10" t="inlineStr">
        <is>
          <t>Circuit Breaker 적용</t>
        </is>
      </c>
      <c r="C61" s="11" t="inlineStr">
        <is>
          <t>권고</t>
        </is>
      </c>
      <c r="D61" s="12" t="inlineStr"/>
      <c r="E61" s="12" t="inlineStr"/>
      <c r="F61" s="13" t="inlineStr"/>
      <c r="G61" s="9" t="inlineStr"/>
    </row>
    <row r="62" ht="26" customHeight="1">
      <c r="A62" s="9" t="inlineStr">
        <is>
          <t>5-6</t>
        </is>
      </c>
      <c r="B62" s="10" t="inlineStr">
        <is>
          <t>외부기관 부하 테스트 수행</t>
        </is>
      </c>
      <c r="C62" s="11" t="inlineStr">
        <is>
          <t>확인</t>
        </is>
      </c>
      <c r="D62" s="12" t="inlineStr"/>
      <c r="E62" s="12" t="inlineStr"/>
      <c r="F62" s="13" t="inlineStr"/>
      <c r="G62" s="9" t="inlineStr"/>
    </row>
    <row r="63" ht="20" customHeight="1">
      <c r="A63" s="8" t="inlineStr">
        <is>
          <t>6. 집중 트래픽 대응 점검</t>
        </is>
      </c>
      <c r="B63" s="23" t="n"/>
      <c r="C63" s="23" t="n"/>
      <c r="D63" s="23" t="n"/>
      <c r="E63" s="23" t="n"/>
      <c r="F63" s="23" t="n"/>
      <c r="G63" s="22" t="n"/>
    </row>
    <row r="64" ht="26" customHeight="1">
      <c r="A64" s="9" t="inlineStr">
        <is>
          <t>6-1</t>
        </is>
      </c>
      <c r="B64" s="10" t="inlineStr">
        <is>
          <t>최대 TPS 검증치 / 예상 최대 TPS</t>
        </is>
      </c>
      <c r="C64" s="11" t="inlineStr">
        <is>
          <t>-</t>
        </is>
      </c>
      <c r="D64" s="12" t="inlineStr"/>
      <c r="E64" s="16" t="inlineStr">
        <is>
          <t>—</t>
        </is>
      </c>
      <c r="F64" s="13" t="inlineStr"/>
      <c r="G64" s="9" t="inlineStr"/>
    </row>
    <row r="65" ht="26" customHeight="1">
      <c r="A65" s="9" t="inlineStr">
        <is>
          <t>6-2</t>
        </is>
      </c>
      <c r="B65" s="10" t="inlineStr">
        <is>
          <t>TPS 증가율</t>
        </is>
      </c>
      <c r="C65" s="11" t="inlineStr">
        <is>
          <t>120% 이하 권고</t>
        </is>
      </c>
      <c r="D65" s="12" t="inlineStr"/>
      <c r="E65" s="12" t="inlineStr"/>
      <c r="F65" s="13" t="inlineStr"/>
      <c r="G65" s="9" t="inlineStr"/>
    </row>
    <row r="66" ht="26" customHeight="1">
      <c r="A66" s="9" t="inlineStr">
        <is>
          <t>6-3</t>
        </is>
      </c>
      <c r="B66" s="10" t="inlineStr">
        <is>
          <t>최대 동접 검증치 / 예상 최대 동접</t>
        </is>
      </c>
      <c r="C66" s="11" t="inlineStr">
        <is>
          <t>-</t>
        </is>
      </c>
      <c r="D66" s="12" t="inlineStr"/>
      <c r="E66" s="16" t="inlineStr">
        <is>
          <t>—</t>
        </is>
      </c>
      <c r="F66" s="13" t="inlineStr"/>
      <c r="G66" s="9" t="inlineStr"/>
    </row>
    <row r="67" ht="26" customHeight="1">
      <c r="A67" s="9" t="inlineStr">
        <is>
          <t>6-4</t>
        </is>
      </c>
      <c r="B67" s="10" t="inlineStr">
        <is>
          <t>동접 증가율</t>
        </is>
      </c>
      <c r="C67" s="11" t="inlineStr">
        <is>
          <t>120% 이하 권고</t>
        </is>
      </c>
      <c r="D67" s="12" t="inlineStr"/>
      <c r="E67" s="12" t="inlineStr"/>
      <c r="F67" s="13" t="inlineStr"/>
      <c r="G67" s="9" t="inlineStr"/>
    </row>
    <row r="68" ht="26" customHeight="1">
      <c r="A68" s="14" t="inlineStr">
        <is>
          <t>6-5</t>
        </is>
      </c>
      <c r="B68" s="15" t="inlineStr">
        <is>
          <t>부하시험 유효성 (측정 시점·구성·데이터량이 현 운영본과 일치)</t>
        </is>
      </c>
      <c r="C68" s="11" t="inlineStr">
        <is>
          <t>일치</t>
        </is>
      </c>
      <c r="D68" s="12" t="inlineStr"/>
      <c r="E68" s="12" t="inlineStr"/>
      <c r="F68" s="13" t="inlineStr">
        <is>
          <t>★</t>
        </is>
      </c>
      <c r="G68" s="9" t="inlineStr"/>
    </row>
    <row r="69" ht="26" customHeight="1">
      <c r="A69" s="14" t="inlineStr">
        <is>
          <t>6-6</t>
        </is>
      </c>
      <c r="B69" s="15" t="inlineStr">
        <is>
          <t>Scale-Out 가능 여부 / 추가 증설 가능 대수</t>
        </is>
      </c>
      <c r="C69" s="11" t="inlineStr">
        <is>
          <t>가능</t>
        </is>
      </c>
      <c r="D69" s="12" t="inlineStr"/>
      <c r="E69" s="12" t="inlineStr"/>
      <c r="F69" s="13" t="inlineStr">
        <is>
          <t>★</t>
        </is>
      </c>
      <c r="G69" s="9" t="inlineStr"/>
    </row>
    <row r="70" ht="26" customHeight="1">
      <c r="A70" s="9" t="inlineStr">
        <is>
          <t>6-7</t>
        </is>
      </c>
      <c r="B70" s="10" t="inlineStr">
        <is>
          <t>유입 통제 솔루션 / 동시접속 제한 기능</t>
        </is>
      </c>
      <c r="C70" s="11" t="inlineStr">
        <is>
          <t>권고</t>
        </is>
      </c>
      <c r="D70" s="12" t="inlineStr"/>
      <c r="E70" s="12" t="inlineStr"/>
      <c r="F70" s="13" t="inlineStr"/>
      <c r="G70" s="9" t="inlineStr"/>
    </row>
    <row r="71" ht="20" customHeight="1">
      <c r="A71" s="8" t="inlineStr">
        <is>
          <t>7. 캐시 / CDN / 정적자원</t>
        </is>
      </c>
      <c r="B71" s="23" t="n"/>
      <c r="C71" s="23" t="n"/>
      <c r="D71" s="23" t="n"/>
      <c r="E71" s="23" t="n"/>
      <c r="F71" s="23" t="n"/>
      <c r="G71" s="22" t="n"/>
    </row>
    <row r="72" ht="26" customHeight="1">
      <c r="A72" s="9" t="inlineStr">
        <is>
          <t>7-1</t>
        </is>
      </c>
      <c r="B72" s="10" t="inlineStr">
        <is>
          <t>정적 콘텐츠 CDN 분리</t>
        </is>
      </c>
      <c r="C72" s="11" t="inlineStr">
        <is>
          <t>적용 권고</t>
        </is>
      </c>
      <c r="D72" s="12" t="inlineStr"/>
      <c r="E72" s="12" t="inlineStr"/>
      <c r="F72" s="13" t="inlineStr"/>
      <c r="G72" s="9" t="inlineStr"/>
    </row>
    <row r="73" ht="26" customHeight="1">
      <c r="A73" s="9" t="inlineStr">
        <is>
          <t>7-2</t>
        </is>
      </c>
      <c r="B73" s="10" t="inlineStr">
        <is>
          <t>캐시 적중률</t>
        </is>
      </c>
      <c r="C73" s="11" t="inlineStr">
        <is>
          <t>높음</t>
        </is>
      </c>
      <c r="D73" s="12" t="inlineStr"/>
      <c r="E73" s="12" t="inlineStr"/>
      <c r="F73" s="13" t="inlineStr"/>
      <c r="G73" s="9" t="inlineStr"/>
    </row>
    <row r="74" ht="26" customHeight="1">
      <c r="A74" s="9" t="inlineStr">
        <is>
          <t>7-3</t>
        </is>
      </c>
      <c r="B74" s="10" t="inlineStr">
        <is>
          <t>Origin 직격 방지 (캐시 미스 폭주 대비)</t>
        </is>
      </c>
      <c r="C74" s="11" t="inlineStr">
        <is>
          <t>점검</t>
        </is>
      </c>
      <c r="D74" s="12" t="inlineStr"/>
      <c r="E74" s="12" t="inlineStr"/>
      <c r="F74" s="13" t="inlineStr"/>
      <c r="G74" s="9" t="inlineStr"/>
    </row>
    <row r="75" ht="20" customHeight="1">
      <c r="A75" s="8" t="inlineStr">
        <is>
          <t>8. 스토리지 / 네트워크 자원</t>
        </is>
      </c>
      <c r="B75" s="23" t="n"/>
      <c r="C75" s="23" t="n"/>
      <c r="D75" s="23" t="n"/>
      <c r="E75" s="23" t="n"/>
      <c r="F75" s="23" t="n"/>
      <c r="G75" s="22" t="n"/>
    </row>
    <row r="76" ht="26" customHeight="1">
      <c r="A76" s="9" t="inlineStr">
        <is>
          <t>8-1</t>
        </is>
      </c>
      <c r="B76" s="10" t="inlineStr">
        <is>
          <t>DB 쓰기 IOPS / I/O 지연</t>
        </is>
      </c>
      <c r="C76" s="11" t="inlineStr">
        <is>
          <t>여유</t>
        </is>
      </c>
      <c r="D76" s="12" t="inlineStr"/>
      <c r="E76" s="12" t="inlineStr"/>
      <c r="F76" s="13" t="inlineStr"/>
      <c r="G76" s="9" t="inlineStr"/>
    </row>
    <row r="77" ht="26" customHeight="1">
      <c r="A77" s="9" t="inlineStr">
        <is>
          <t>8-2</t>
        </is>
      </c>
      <c r="B77" s="10" t="inlineStr">
        <is>
          <t>Redo·Archive 로그 증가 대응</t>
        </is>
      </c>
      <c r="C77" s="11" t="inlineStr">
        <is>
          <t>점검</t>
        </is>
      </c>
      <c r="D77" s="12" t="inlineStr"/>
      <c r="E77" s="12" t="inlineStr"/>
      <c r="F77" s="13" t="inlineStr"/>
      <c r="G77" s="9" t="inlineStr"/>
    </row>
    <row r="78" ht="26" customHeight="1">
      <c r="A78" s="14" t="inlineStr">
        <is>
          <t>8-3</t>
        </is>
      </c>
      <c r="B78" s="15" t="inlineStr">
        <is>
          <t>디스크 여유율 (로그 폭증 대비)</t>
        </is>
      </c>
      <c r="C78" s="11" t="inlineStr">
        <is>
          <t>Full 위험 없음</t>
        </is>
      </c>
      <c r="D78" s="12" t="inlineStr"/>
      <c r="E78" s="12" t="inlineStr"/>
      <c r="F78" s="13" t="inlineStr">
        <is>
          <t>★</t>
        </is>
      </c>
      <c r="G78" s="9" t="inlineStr"/>
    </row>
    <row r="79" ht="26" customHeight="1">
      <c r="A79" s="9" t="inlineStr">
        <is>
          <t>8-4</t>
        </is>
      </c>
      <c r="B79" s="10" t="inlineStr">
        <is>
          <t>로깅 레벨 (부하 중 DEBUG 금지)</t>
        </is>
      </c>
      <c r="C79" s="11" t="inlineStr">
        <is>
          <t>적정</t>
        </is>
      </c>
      <c r="D79" s="12" t="inlineStr"/>
      <c r="E79" s="12" t="inlineStr"/>
      <c r="F79" s="13" t="inlineStr"/>
      <c r="G79" s="9" t="inlineStr"/>
    </row>
    <row r="80" ht="26" customHeight="1">
      <c r="A80" s="9" t="inlineStr">
        <is>
          <t>8-5</t>
        </is>
      </c>
      <c r="B80" s="10" t="inlineStr">
        <is>
          <t>구간 네트워크 대역폭 포화 여부</t>
        </is>
      </c>
      <c r="C80" s="11" t="inlineStr">
        <is>
          <t>여유</t>
        </is>
      </c>
      <c r="D80" s="12" t="inlineStr"/>
      <c r="E80" s="12" t="inlineStr"/>
      <c r="F80" s="13" t="inlineStr"/>
      <c r="G80" s="9" t="inlineStr"/>
    </row>
    <row r="81" ht="20" customHeight="1">
      <c r="A81" s="8" t="inlineStr">
        <is>
          <t>9. 운영 준비태세 및 비상대응</t>
        </is>
      </c>
      <c r="B81" s="23" t="n"/>
      <c r="C81" s="23" t="n"/>
      <c r="D81" s="23" t="n"/>
      <c r="E81" s="23" t="n"/>
      <c r="F81" s="23" t="n"/>
      <c r="G81" s="22" t="n"/>
    </row>
    <row r="82" ht="26" customHeight="1">
      <c r="A82" s="9" t="inlineStr">
        <is>
          <t>9-1</t>
        </is>
      </c>
      <c r="B82" s="10" t="inlineStr">
        <is>
          <t>실시간 모니터링 / APM 커버리지</t>
        </is>
      </c>
      <c r="C82" s="11" t="inlineStr">
        <is>
          <t>확보</t>
        </is>
      </c>
      <c r="D82" s="12" t="inlineStr"/>
      <c r="E82" s="12" t="inlineStr"/>
      <c r="F82" s="13" t="inlineStr"/>
      <c r="G82" s="9" t="inlineStr"/>
    </row>
    <row r="83" ht="26" customHeight="1">
      <c r="A83" s="9" t="inlineStr">
        <is>
          <t>9-2</t>
        </is>
      </c>
      <c r="B83" s="10" t="inlineStr">
        <is>
          <t>임계치 알람 설정</t>
        </is>
      </c>
      <c r="C83" s="11" t="inlineStr">
        <is>
          <t>설정</t>
        </is>
      </c>
      <c r="D83" s="12" t="inlineStr"/>
      <c r="E83" s="12" t="inlineStr"/>
      <c r="F83" s="13" t="inlineStr"/>
      <c r="G83" s="9" t="inlineStr"/>
    </row>
    <row r="84" ht="26" customHeight="1">
      <c r="A84" s="9" t="inlineStr">
        <is>
          <t>9-3</t>
        </is>
      </c>
      <c r="B84" s="10" t="inlineStr">
        <is>
          <t>War Room / On-call 편성·비상연락체계</t>
        </is>
      </c>
      <c r="C84" s="11" t="inlineStr">
        <is>
          <t>편성</t>
        </is>
      </c>
      <c r="D84" s="12" t="inlineStr"/>
      <c r="E84" s="12" t="inlineStr"/>
      <c r="F84" s="13" t="inlineStr"/>
      <c r="G84" s="9" t="inlineStr"/>
    </row>
    <row r="85" ht="26" customHeight="1">
      <c r="A85" s="14" t="inlineStr">
        <is>
          <t>9-4</t>
        </is>
      </c>
      <c r="B85" s="15" t="inlineStr">
        <is>
          <t>롤백·저하운영(Kill-Switch) 계획</t>
        </is>
      </c>
      <c r="C85" s="11" t="inlineStr">
        <is>
          <t>수립</t>
        </is>
      </c>
      <c r="D85" s="12" t="inlineStr"/>
      <c r="E85" s="12" t="inlineStr"/>
      <c r="F85" s="13" t="inlineStr">
        <is>
          <t>★</t>
        </is>
      </c>
      <c r="G85" s="9" t="inlineStr"/>
    </row>
    <row r="86" ht="26" customHeight="1">
      <c r="A86" s="9" t="inlineStr">
        <is>
          <t>9-5</t>
        </is>
      </c>
      <c r="B86" s="10" t="inlineStr">
        <is>
          <t>대기열 / 점검페이지 전환 기준</t>
        </is>
      </c>
      <c r="C86" s="11" t="inlineStr">
        <is>
          <t>수립</t>
        </is>
      </c>
      <c r="D86" s="12" t="inlineStr"/>
      <c r="E86" s="12" t="inlineStr"/>
      <c r="F86" s="13" t="inlineStr"/>
      <c r="G86" s="9" t="inlineStr"/>
    </row>
    <row r="88" ht="24" customHeight="1">
      <c r="A88" s="17" t="inlineStr">
        <is>
          <t>■ 최종 위험도 평가 (자동 산정)</t>
        </is>
      </c>
    </row>
    <row r="89" ht="20" customHeight="1">
      <c r="A89" s="4" t="inlineStr">
        <is>
          <t>Critical(★) NG 건수</t>
        </is>
      </c>
      <c r="B89" s="23" t="n"/>
      <c r="C89" s="23" t="n"/>
      <c r="D89" s="22" t="n"/>
      <c r="E89" s="18">
        <f>COUNTIFS(F16:F86,"★",E16:E86,"NG")</f>
        <v/>
      </c>
      <c r="F89" s="23" t="n"/>
      <c r="G89" s="22" t="n"/>
    </row>
    <row r="90" ht="20" customHeight="1">
      <c r="A90" s="4" t="inlineStr">
        <is>
          <t>일반 NG 건수</t>
        </is>
      </c>
      <c r="B90" s="23" t="n"/>
      <c r="C90" s="23" t="n"/>
      <c r="D90" s="22" t="n"/>
      <c r="E90" s="18">
        <f>COUNTIF(E16:E86,"NG")-COUNTIFS(F16:F86,"★",E16:E86,"NG")</f>
        <v/>
      </c>
      <c r="F90" s="23" t="n"/>
      <c r="G90" s="22" t="n"/>
    </row>
    <row r="91" ht="20" customHeight="1">
      <c r="A91" s="4" t="inlineStr">
        <is>
          <t>OK 건수</t>
        </is>
      </c>
      <c r="B91" s="23" t="n"/>
      <c r="C91" s="23" t="n"/>
      <c r="D91" s="22" t="n"/>
      <c r="E91" s="18">
        <f>COUNTIF(E16:E86,"OK")</f>
        <v/>
      </c>
      <c r="F91" s="23" t="n"/>
      <c r="G91" s="22" t="n"/>
    </row>
    <row r="92" ht="20" customHeight="1">
      <c r="A92" s="4" t="inlineStr">
        <is>
          <t>미점검(공란) 건수</t>
        </is>
      </c>
      <c r="B92" s="23" t="n"/>
      <c r="C92" s="23" t="n"/>
      <c r="D92" s="22" t="n"/>
      <c r="E92" s="18">
        <f>COUNTBLANK(E16:E86)</f>
        <v/>
      </c>
      <c r="F92" s="23" t="n"/>
      <c r="G92" s="22" t="n"/>
    </row>
    <row r="93" ht="30" customHeight="1">
      <c r="A93" s="19" t="inlineStr">
        <is>
          <t>▶ 종합 판정</t>
        </is>
      </c>
      <c r="B93" s="23" t="n"/>
      <c r="C93" s="23" t="n"/>
      <c r="D93" s="22" t="n"/>
      <c r="E93" s="20">
        <f>IF(E89&gt;=1,"위험",IF(E90&gt;=6,"위험",IF(E90&gt;=2,"주의","정상")))</f>
        <v/>
      </c>
      <c r="F93" s="23" t="n"/>
      <c r="G93" s="22" t="n"/>
    </row>
    <row r="95" ht="18" customHeight="1">
      <c r="A95" s="21" t="inlineStr">
        <is>
          <t>판정 로직:  위험 = ★ NG 1개 이상  또는  일반 NG 6개 이상   |   주의 = 일반 NG 2~5개 (★ NG 없음)   |   정상 = 일반 NG 0~1개, ★ NG 없음</t>
        </is>
      </c>
    </row>
  </sheetData>
  <mergeCells count="43">
    <mergeCell ref="A91:D91"/>
    <mergeCell ref="C6:G6"/>
    <mergeCell ref="A11:B11"/>
    <mergeCell ref="A22:G22"/>
    <mergeCell ref="A4:G4"/>
    <mergeCell ref="C5:G5"/>
    <mergeCell ref="A81:G81"/>
    <mergeCell ref="E90:G90"/>
    <mergeCell ref="A63:G63"/>
    <mergeCell ref="A6:B6"/>
    <mergeCell ref="A93:D93"/>
    <mergeCell ref="A28:G28"/>
    <mergeCell ref="E89:G89"/>
    <mergeCell ref="A7:B7"/>
    <mergeCell ref="C10:G10"/>
    <mergeCell ref="A92:D92"/>
    <mergeCell ref="A15:G15"/>
    <mergeCell ref="C9:G9"/>
    <mergeCell ref="E91:G91"/>
    <mergeCell ref="A45:G45"/>
    <mergeCell ref="A12:B12"/>
    <mergeCell ref="A36:G36"/>
    <mergeCell ref="A1:G1"/>
    <mergeCell ref="C12:G12"/>
    <mergeCell ref="A88:G88"/>
    <mergeCell ref="A5:B5"/>
    <mergeCell ref="C11:G11"/>
    <mergeCell ref="E93:G93"/>
    <mergeCell ref="C8:G8"/>
    <mergeCell ref="A8:B8"/>
    <mergeCell ref="A90:D90"/>
    <mergeCell ref="A75:G75"/>
    <mergeCell ref="C7:G7"/>
    <mergeCell ref="A89:D89"/>
    <mergeCell ref="A56:G56"/>
    <mergeCell ref="A10:B10"/>
    <mergeCell ref="A50:G50"/>
    <mergeCell ref="A95:G95"/>
    <mergeCell ref="E92:G92"/>
    <mergeCell ref="A2:G2"/>
    <mergeCell ref="A9:B9"/>
    <mergeCell ref="A71:G71"/>
    <mergeCell ref="A42:G42"/>
  </mergeCells>
  <conditionalFormatting sqref="E16:E86">
    <cfRule type="cellIs" priority="1" operator="equal" dxfId="0">
      <formula>"NG"</formula>
    </cfRule>
    <cfRule type="cellIs" priority="2" operator="equal" dxfId="1">
      <formula>"OK"</formula>
    </cfRule>
  </conditionalFormatting>
  <conditionalFormatting sqref="E93">
    <cfRule type="cellIs" priority="3" operator="equal" dxfId="2">
      <formula>"위험"</formula>
    </cfRule>
    <cfRule type="cellIs" priority="4" operator="equal" dxfId="3">
      <formula>"주의"</formula>
    </cfRule>
    <cfRule type="cellIs" priority="5" operator="equal" dxfId="4">
      <formula>"정상"</formula>
    </cfRule>
  </conditionalFormatting>
  <dataValidations count="1">
    <dataValidation sqref="E16 E17 E18 E19 E20 E21 E25 E27 E30 E31 E32 E33 E35 E37 E38 E40 E41 E43 E44 E46 E47 E49 E51 E52 E53 E54 E55 E57 E59 E60 E61 E62 E65 E67 E68 E69 E70 E72 E73 E74 E76 E77 E78 E79 E80 E82 E83 E84 E85 E86" showDropDown="0" showInputMessage="1" showErrorMessage="1" allowBlank="1" errorTitle="판정 입력" error="OK, NG, N/A 중에서 선택하세요." promptTitle="판정" prompt="드롭다운에서 선택" type="list">
      <formula1>"OK,NG,N/A"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showGridLines="0" workbookViewId="0">
      <pane ySplit="3" topLeftCell="A4" activePane="bottomLeft" state="frozen"/>
      <selection pane="bottomLeft" activeCell="A1" sqref="A1"/>
    </sheetView>
  </sheetViews>
  <sheetFormatPr baseColWidth="8" defaultRowHeight="15"/>
  <cols>
    <col width="8" customWidth="1" min="1" max="1"/>
    <col width="9" customWidth="1" min="2" max="2"/>
    <col width="40" customWidth="1" min="3" max="3"/>
    <col width="20" customWidth="1" min="4" max="4"/>
    <col width="52" customWidth="1" min="5" max="5"/>
    <col width="62" customWidth="1" min="6" max="6"/>
  </cols>
  <sheetData>
    <row r="1" ht="28" customHeight="1">
      <c r="A1" s="24" t="inlineStr">
        <is>
          <t>항목 근거 · 변경사유 (원본 체크리스트 대비)</t>
        </is>
      </c>
    </row>
    <row r="2" ht="18" customHeight="1">
      <c r="A2" s="25" t="inlineStr">
        <is>
          <t>구분: [신규]추가  [수정]기준·표현 변경  [통합]원본 여러 항목을 합침  [유지]원본 유지  [삭제·통합]원본 항목이 다른 항목으로 흡수됨</t>
        </is>
      </c>
    </row>
    <row r="3" ht="22" customHeight="1">
      <c r="A3" s="7" t="inlineStr">
        <is>
          <t>번호</t>
        </is>
      </c>
      <c r="B3" s="7" t="inlineStr">
        <is>
          <t>구분</t>
        </is>
      </c>
      <c r="C3" s="7" t="inlineStr">
        <is>
          <t>점검항목</t>
        </is>
      </c>
      <c r="D3" s="7" t="inlineStr">
        <is>
          <t>기준</t>
        </is>
      </c>
      <c r="E3" s="7" t="inlineStr">
        <is>
          <t>기준 근거</t>
        </is>
      </c>
      <c r="F3" s="7" t="inlineStr">
        <is>
          <t>변경·추가 사유</t>
        </is>
      </c>
    </row>
    <row r="4" ht="18" customHeight="1">
      <c r="A4" s="26" t="inlineStr">
        <is>
          <t>— 0절 —</t>
        </is>
      </c>
      <c r="B4" s="5" t="n"/>
      <c r="C4" s="5" t="n"/>
      <c r="D4" s="5" t="n"/>
      <c r="E4" s="5" t="n"/>
      <c r="F4" s="5" t="n"/>
    </row>
    <row r="5" ht="46" customHeight="1">
      <c r="A5" s="27" t="inlineStr">
        <is>
          <t>0-1</t>
        </is>
      </c>
      <c r="B5" s="28" t="inlineStr">
        <is>
          <t>신규</t>
        </is>
      </c>
      <c r="C5" s="29" t="inlineStr">
        <is>
          <t>Web MaxRequestWorkers / worker_connections</t>
        </is>
      </c>
      <c r="D5" s="29" t="inlineStr">
        <is>
          <t>예상 동접 대비 ≥150%</t>
        </is>
      </c>
      <c r="E5" s="29" t="inlineStr">
        <is>
          <t>진입단(Apache/Nginx) 워커가 동접보다 적으면 WAS·DB가 멀쩡해도 요청이 진입 단계에서 큐잉·거절된다. 50% 버퍼는 순간 버스트 흡수용(경험칙).</t>
        </is>
      </c>
      <c r="F5" s="29" t="inlineStr">
        <is>
          <t>원본은 WAS/DB부터 시작해 진입단 계층이 통째로 누락. 집중 트래픽의 1차 병목은 거의 항상 진입단이라 신설.</t>
        </is>
      </c>
    </row>
    <row r="6" ht="46" customHeight="1">
      <c r="A6" s="27" t="inlineStr">
        <is>
          <t>0-2</t>
        </is>
      </c>
      <c r="B6" s="28" t="inlineStr">
        <is>
          <t>신규</t>
        </is>
      </c>
      <c r="C6" s="29" t="inlineStr">
        <is>
          <t>L4/L7 동시 세션 한계 대비 예상치</t>
        </is>
      </c>
      <c r="D6" s="29" t="inlineStr">
        <is>
          <t>한계의 70% 이하</t>
        </is>
      </c>
      <c r="E6" s="29" t="inlineStr">
        <is>
          <t>세션테이블은 한계 근처에서 비선형으로 붕괴(신규 연결 거절). 70%는 스파이크 여유 확보용.</t>
        </is>
      </c>
      <c r="F6" s="29" t="inlineStr">
        <is>
          <t>LB/방화벽 세션 한계는 대형 이벤트의 대표 사일런트 장애 지점인데 원본에 없었음.</t>
        </is>
      </c>
    </row>
    <row r="7" ht="46" customHeight="1">
      <c r="A7" s="27" t="inlineStr">
        <is>
          <t>0-3</t>
        </is>
      </c>
      <c r="B7" s="28" t="inlineStr">
        <is>
          <t>신규</t>
        </is>
      </c>
      <c r="C7" s="29" t="inlineStr">
        <is>
          <t>신규 세션 처리율(CPS) 한계</t>
        </is>
      </c>
      <c r="D7" s="29" t="inlineStr">
        <is>
          <t>한계의 70% 이하</t>
        </is>
      </c>
      <c r="E7" s="29" t="inlineStr">
        <is>
          <t>동접 총량이 아니라 「초당 신규 연결」이 LB의 실제 병목인 경우가 많음(특히 짧은 커넥션).</t>
        </is>
      </c>
      <c r="F7" s="29" t="inlineStr">
        <is>
          <t>동접 수만 보던 원본의 사각지대 보완.</t>
        </is>
      </c>
    </row>
    <row r="8" ht="46" customHeight="1">
      <c r="A8" s="27" t="inlineStr">
        <is>
          <t>0-4</t>
        </is>
      </c>
      <c r="B8" s="28" t="inlineStr">
        <is>
          <t>신규</t>
        </is>
      </c>
      <c r="C8" s="29" t="inlineStr">
        <is>
          <t>SSL/TLS 핸드셰이크·세션캐시·오프로드</t>
        </is>
      </c>
      <c r="D8" s="29" t="inlineStr">
        <is>
          <t>적용 권고</t>
        </is>
      </c>
      <c r="E8" s="29" t="inlineStr">
        <is>
          <t>TLS 핸드셰이크는 CPU 집약적. 이벤트 시 신규 핸드셰이크 폭증으로 진입단 CPU가 먼저 포화.</t>
        </is>
      </c>
      <c r="F8" s="29" t="inlineStr">
        <is>
          <t>HTTPS 전제 환경에서 누락 시 원인 불명 지연의 단골 원인.</t>
        </is>
      </c>
    </row>
    <row r="9" ht="46" customHeight="1">
      <c r="A9" s="27" t="inlineStr">
        <is>
          <t>0-5</t>
        </is>
      </c>
      <c r="B9" s="28" t="inlineStr">
        <is>
          <t>신규</t>
        </is>
      </c>
      <c r="C9" s="29" t="inlineStr">
        <is>
          <t>KeepAlive timeout / 백엔드 연결 재사용</t>
        </is>
      </c>
      <c r="D9" s="29" t="inlineStr">
        <is>
          <t>점검</t>
        </is>
      </c>
      <c r="E9" s="29" t="inlineStr">
        <is>
          <t>KeepAlive 과다는 워커 점유, 과소는 핸드셰이크 폭증. 양방향 리스크라 점검 필요.</t>
        </is>
      </c>
      <c r="F9" s="29" t="inlineStr">
        <is>
          <t>연결 재사용 설정 미점검 시 0-1/0-4 효과가 상쇄됨.</t>
        </is>
      </c>
    </row>
    <row r="10" ht="46" customHeight="1">
      <c r="A10" s="30" t="inlineStr">
        <is>
          <t>0-6</t>
        </is>
      </c>
      <c r="B10" s="28" t="inlineStr">
        <is>
          <t>신규(★)</t>
        </is>
      </c>
      <c r="C10" s="29" t="inlineStr">
        <is>
          <t>방화벽·LB 세션테이블(conntrack) 한계</t>
        </is>
      </c>
      <c r="D10" s="29" t="inlineStr">
        <is>
          <t>여유 확보</t>
        </is>
      </c>
      <c r="E10" s="29" t="inlineStr">
        <is>
          <t>conntrack 고갈 시 신규 연결 전면 차단 → 전체 서비스 중단. 사용자 실제 SCP PP conntrack 고갈 사례와 동일 클래스.</t>
        </is>
      </c>
      <c r="F10" s="29" t="inlineStr">
        <is>
          <t>치명도 최상이라 ★ 지정. 원본 부재.</t>
        </is>
      </c>
    </row>
    <row r="11" ht="18" customHeight="1">
      <c r="A11" s="26" t="inlineStr">
        <is>
          <t>— 1절 —</t>
        </is>
      </c>
      <c r="B11" s="5" t="n"/>
      <c r="C11" s="5" t="n"/>
      <c r="D11" s="5" t="n"/>
      <c r="E11" s="5" t="n"/>
      <c r="F11" s="5" t="n"/>
    </row>
    <row r="12" ht="46" customHeight="1">
      <c r="A12" s="27" t="inlineStr">
        <is>
          <t>1-1</t>
        </is>
      </c>
      <c r="B12" s="31" t="inlineStr">
        <is>
          <t>유지</t>
        </is>
      </c>
      <c r="C12" s="29" t="inlineStr">
        <is>
          <t>평시 동시접속자 수</t>
        </is>
      </c>
      <c r="D12" s="29" t="inlineStr">
        <is>
          <t>-</t>
        </is>
      </c>
      <c r="E12" s="29" t="inlineStr">
        <is>
          <t>증가율 산정의 기준선(분모).</t>
        </is>
      </c>
      <c r="F12" s="29" t="inlineStr">
        <is>
          <t>원본 유지. 측정값 기록 항목이라 채점 제외(—).</t>
        </is>
      </c>
    </row>
    <row r="13" ht="46" customHeight="1">
      <c r="A13" s="27" t="inlineStr">
        <is>
          <t>1-2</t>
        </is>
      </c>
      <c r="B13" s="31" t="inlineStr">
        <is>
          <t>유지</t>
        </is>
      </c>
      <c r="C13" s="29" t="inlineStr">
        <is>
          <t>예상 최대 동시접속자 수</t>
        </is>
      </c>
      <c r="D13" s="29" t="inlineStr">
        <is>
          <t>-</t>
        </is>
      </c>
      <c r="E13" s="29" t="inlineStr">
        <is>
          <t>이벤트 부하 가정의 핵심 입력.</t>
        </is>
      </c>
      <c r="F13" s="29" t="inlineStr">
        <is>
          <t>원본 유지. 측정전용.</t>
        </is>
      </c>
    </row>
    <row r="14" ht="46" customHeight="1">
      <c r="A14" s="27" t="inlineStr">
        <is>
          <t>1-3</t>
        </is>
      </c>
      <c r="B14" s="32" t="inlineStr">
        <is>
          <t>수정</t>
        </is>
      </c>
      <c r="C14" s="29" t="inlineStr">
        <is>
          <t>사용자 증가율</t>
        </is>
      </c>
      <c r="D14" s="29" t="inlineStr">
        <is>
          <t>120% 이하 권고 (원본 150%)</t>
        </is>
      </c>
      <c r="E14" s="29" t="inlineStr">
        <is>
          <t>검증된 부하 영역을 넘으면 미검증 구간 진입. 6절 TPS·동접 증가율과 동일 기준으로 통일해 점검자 혼선 제거.</t>
        </is>
      </c>
      <c r="F14" s="29" t="inlineStr">
        <is>
          <t>원본은 1-3만 150%, 6절은 120%로 절마다 달라 일관성 결여. 더 보수적인 120%로 통일. (사용자증가와 TPS증가를 다르게 볼 근거 있으면 사유 명시 후 조정 가능)</t>
        </is>
      </c>
    </row>
    <row r="15" ht="46" customHeight="1">
      <c r="A15" s="27" t="inlineStr">
        <is>
          <t>1-4</t>
        </is>
      </c>
      <c r="B15" s="31" t="inlineStr">
        <is>
          <t>유지</t>
        </is>
      </c>
      <c r="C15" s="29" t="inlineStr">
        <is>
          <t>기존 성능검증 기준 동접자 수</t>
        </is>
      </c>
      <c r="D15" s="29" t="inlineStr">
        <is>
          <t>-</t>
        </is>
      </c>
      <c r="E15" s="29" t="inlineStr">
        <is>
          <t>「검증된 한계」의 기준점. 6-5 부하시험 유효성과 연결.</t>
        </is>
      </c>
      <c r="F15" s="29" t="inlineStr">
        <is>
          <t>원본 유지. 측정전용.</t>
        </is>
      </c>
    </row>
    <row r="16" ht="46" customHeight="1">
      <c r="A16" s="30" t="inlineStr">
        <is>
          <t>1-5</t>
        </is>
      </c>
      <c r="B16" s="31" t="inlineStr">
        <is>
          <t>유지(★)</t>
        </is>
      </c>
      <c r="C16" s="29" t="inlineStr">
        <is>
          <t>검증기준 초과 여부</t>
        </is>
      </c>
      <c r="D16" s="29" t="inlineStr">
        <is>
          <t>초과 시 재검증</t>
        </is>
      </c>
      <c r="E16" s="29" t="inlineStr">
        <is>
          <t>검증 안 된 부하 구간 진입은 결과 예측 불가 → 즉시 위험.</t>
        </is>
      </c>
      <c r="F16" s="29" t="inlineStr">
        <is>
          <t>원본 유지하되 치명도 반영해 ★ 승격.</t>
        </is>
      </c>
    </row>
    <row r="17" ht="18" customHeight="1">
      <c r="A17" s="26" t="inlineStr">
        <is>
          <t>— 2절 WAS —</t>
        </is>
      </c>
      <c r="B17" s="5" t="n"/>
      <c r="C17" s="5" t="n"/>
      <c r="D17" s="5" t="n"/>
      <c r="E17" s="5" t="n"/>
      <c r="F17" s="5" t="n"/>
    </row>
    <row r="18" ht="46" customHeight="1">
      <c r="A18" s="27" t="inlineStr">
        <is>
          <t>2-1</t>
        </is>
      </c>
      <c r="B18" s="33" t="inlineStr">
        <is>
          <t>통합</t>
        </is>
      </c>
      <c r="C18" s="29" t="inlineStr">
        <is>
          <t>WAS 서버 수 / 증설 예정 수량</t>
        </is>
      </c>
      <c r="D18" s="29" t="inlineStr">
        <is>
          <t>-</t>
        </is>
      </c>
      <c r="E18" s="29" t="inlineStr">
        <is>
          <t>용량 산정 기준.</t>
        </is>
      </c>
      <c r="F18" s="29" t="inlineStr">
        <is>
          <t>원본 2-1(서버 수)+2-2(증설 예정)를 한 줄로 통합. 측정전용.</t>
        </is>
      </c>
    </row>
    <row r="19" ht="46" customHeight="1">
      <c r="A19" s="27" t="inlineStr">
        <is>
          <t>2-2</t>
        </is>
      </c>
      <c r="B19" s="31" t="inlineStr">
        <is>
          <t>유지</t>
        </is>
      </c>
      <c r="C19" s="29" t="inlineStr">
        <is>
          <t>CPU Peak 사용률</t>
        </is>
      </c>
      <c r="D19" s="29" t="inlineStr">
        <is>
          <t>70% 이하</t>
        </is>
      </c>
      <c r="E19" s="29" t="inlineStr">
        <is>
          <t>Peak에서 30% 헤드룸 — GC·컨텍스트스위치·순간 스파이크 흡수(업계 통용 경험칙).</t>
        </is>
      </c>
      <c r="F19" s="29" t="inlineStr">
        <is>
          <t>원본 유지.</t>
        </is>
      </c>
    </row>
    <row r="20" ht="46" customHeight="1">
      <c r="A20" s="27" t="inlineStr">
        <is>
          <t>2-3</t>
        </is>
      </c>
      <c r="B20" s="32" t="inlineStr">
        <is>
          <t>수정</t>
        </is>
      </c>
      <c r="C20" s="29" t="inlineStr">
        <is>
          <t>JVM Heap(Old Gen) 사용률</t>
        </is>
      </c>
      <c r="D20" s="29" t="inlineStr">
        <is>
          <t>80% 이하</t>
        </is>
      </c>
      <c r="E20" s="29" t="inlineStr">
        <is>
          <t>OS 메모리 사용률은 JVM이 힙을 선점하므로 항상 높게 보여 오판 소지. 실제 위험 지표는 힙(특히 Old Gen).</t>
        </is>
      </c>
      <c r="F20" s="29" t="inlineStr">
        <is>
          <t>원본 "Memory 사용률 80%"를 JVM 관점으로 명확화.</t>
        </is>
      </c>
    </row>
    <row r="21" ht="46" customHeight="1">
      <c r="A21" s="27" t="inlineStr">
        <is>
          <t>2-4</t>
        </is>
      </c>
      <c r="B21" s="28" t="inlineStr">
        <is>
          <t>신규</t>
        </is>
      </c>
      <c r="C21" s="29" t="inlineStr">
        <is>
          <t>Full GC 빈도 / Pause 시간</t>
        </is>
      </c>
      <c r="D21" s="29" t="inlineStr">
        <is>
          <t>빈번·장시간 없음</t>
        </is>
      </c>
      <c r="E21" s="29" t="inlineStr">
        <is>
          <t>메모리 80% 이내여도 Full GC 폭주(Stop-the-World)로 응답 정지·연쇄 타임아웃 발생.</t>
        </is>
      </c>
      <c r="F21" s="29" t="inlineStr">
        <is>
          <t>메모리 사용률만으로는 GC 거동을 못 잡아 별도 항목화.</t>
        </is>
      </c>
    </row>
    <row r="22" ht="46" customHeight="1">
      <c r="A22" s="27" t="inlineStr">
        <is>
          <t>2-5</t>
        </is>
      </c>
      <c r="B22" s="31" t="inlineStr">
        <is>
          <t>유지</t>
        </is>
      </c>
      <c r="C22" s="29" t="inlineStr">
        <is>
          <t>Thread Pool 사용률</t>
        </is>
      </c>
      <c r="D22" s="29" t="inlineStr">
        <is>
          <t>80% 이하</t>
        </is>
      </c>
      <c r="E22" s="29" t="inlineStr">
        <is>
          <t>고갈 전 경보 여유. 풀 100% 도달 시 요청 큐잉·거절.</t>
        </is>
      </c>
      <c r="F22" s="29" t="inlineStr">
        <is>
          <t>원본 유지.</t>
        </is>
      </c>
    </row>
    <row r="23" ht="46" customHeight="1">
      <c r="A23" s="27" t="inlineStr">
        <is>
          <t>2-6</t>
        </is>
      </c>
      <c r="B23" s="31" t="inlineStr">
        <is>
          <t>유지</t>
        </is>
      </c>
      <c r="C23" s="29" t="inlineStr">
        <is>
          <t>Active Thread 수</t>
        </is>
      </c>
      <c r="D23" s="29" t="inlineStr">
        <is>
          <t>-</t>
        </is>
      </c>
      <c r="E23" s="29" t="inlineStr">
        <is>
          <t>순간 부하 진단용 측정값.</t>
        </is>
      </c>
      <c r="F23" s="29" t="inlineStr">
        <is>
          <t>원본 유지. 측정전용.</t>
        </is>
      </c>
    </row>
    <row r="24" ht="46" customHeight="1">
      <c r="A24" s="27" t="inlineStr">
        <is>
          <t>2-7</t>
        </is>
      </c>
      <c r="B24" s="31" t="inlineStr">
        <is>
          <t>유지</t>
        </is>
      </c>
      <c r="C24" s="29" t="inlineStr">
        <is>
          <t>Thread Queue 대기건수</t>
        </is>
      </c>
      <c r="D24" s="29" t="inlineStr">
        <is>
          <t>0 건 권고</t>
        </is>
      </c>
      <c r="E24" s="29" t="inlineStr">
        <is>
          <t>대기 발생=처리 능력 초과 신호.</t>
        </is>
      </c>
      <c r="F24" s="29" t="inlineStr">
        <is>
          <t>원본 항목 유지. 원본의 결번(2-7 없이 2-6→2-8)을 재정렬해 해소.</t>
        </is>
      </c>
    </row>
    <row r="25" ht="18" customHeight="1">
      <c r="A25" s="26" t="inlineStr">
        <is>
          <t>— 2절 DB —</t>
        </is>
      </c>
      <c r="B25" s="5" t="n"/>
      <c r="C25" s="5" t="n"/>
      <c r="D25" s="5" t="n"/>
      <c r="E25" s="5" t="n"/>
      <c r="F25" s="5" t="n"/>
    </row>
    <row r="26" ht="46" customHeight="1">
      <c r="A26" s="27" t="inlineStr">
        <is>
          <t>2-8</t>
        </is>
      </c>
      <c r="B26" s="31" t="inlineStr">
        <is>
          <t>유지</t>
        </is>
      </c>
      <c r="C26" s="29" t="inlineStr">
        <is>
          <t>DB CPU Peak 사용률</t>
        </is>
      </c>
      <c r="D26" s="29" t="inlineStr">
        <is>
          <t>70% 이하</t>
        </is>
      </c>
      <c r="E26" s="29" t="inlineStr">
        <is>
          <t>WAS와 동일 논리의 헤드룸.</t>
        </is>
      </c>
      <c r="F26" s="29" t="inlineStr">
        <is>
          <t>원본 유지.</t>
        </is>
      </c>
    </row>
    <row r="27" ht="46" customHeight="1">
      <c r="A27" s="27" t="inlineStr">
        <is>
          <t>2-9</t>
        </is>
      </c>
      <c r="B27" s="31" t="inlineStr">
        <is>
          <t>유지</t>
        </is>
      </c>
      <c r="C27" s="29" t="inlineStr">
        <is>
          <t>DB Memory 사용률</t>
        </is>
      </c>
      <c r="D27" s="29" t="inlineStr">
        <is>
          <t>80% 이하</t>
        </is>
      </c>
      <c r="E27" s="29" t="inlineStr">
        <is>
          <t>버퍼캐시·정렬영역 여유.</t>
        </is>
      </c>
      <c r="F27" s="29" t="inlineStr">
        <is>
          <t>원본 유지.</t>
        </is>
      </c>
    </row>
    <row r="28" ht="46" customHeight="1">
      <c r="A28" s="27" t="inlineStr">
        <is>
          <t>2-10</t>
        </is>
      </c>
      <c r="B28" s="33" t="inlineStr">
        <is>
          <t>통합</t>
        </is>
      </c>
      <c r="C28" s="29" t="inlineStr">
        <is>
          <t>Active / Max Session 수</t>
        </is>
      </c>
      <c r="D28" s="29" t="inlineStr">
        <is>
          <t>-</t>
        </is>
      </c>
      <c r="E28" s="29" t="inlineStr">
        <is>
          <t>세션 포화도 진단.</t>
        </is>
      </c>
      <c r="F28" s="29" t="inlineStr">
        <is>
          <t>원본 2-11(Active)+2-12(Max)를 통합. 측정전용. 채점은 2-11 사용률로 일원화.</t>
        </is>
      </c>
    </row>
    <row r="29" ht="46" customHeight="1">
      <c r="A29" s="27" t="inlineStr">
        <is>
          <t>2-11</t>
        </is>
      </c>
      <c r="B29" s="32" t="inlineStr">
        <is>
          <t>수정</t>
        </is>
      </c>
      <c r="C29" s="29" t="inlineStr">
        <is>
          <t>Connection Pool 사용률 (채점 대상)</t>
        </is>
      </c>
      <c r="D29" s="29" t="inlineStr">
        <is>
          <t>80% 이하</t>
        </is>
      </c>
      <c r="E29" s="29" t="inlineStr">
        <is>
          <t>Active/Max Session과 측정 관점이 겹쳐 이중계상 위험 → 채점 지표를 사용률 하나로 명확히 지정.</t>
        </is>
      </c>
      <c r="F29" s="29" t="inlineStr">
        <is>
          <t>원본 항목 유지하되 "채점 대상"임을 명시해 중복 집계 방지.</t>
        </is>
      </c>
    </row>
    <row r="30" ht="46" customHeight="1">
      <c r="A30" s="30" t="inlineStr">
        <is>
          <t>2-12</t>
        </is>
      </c>
      <c r="B30" s="33" t="inlineStr">
        <is>
          <t>통합(★)</t>
        </is>
      </c>
      <c r="C30" s="29" t="inlineStr">
        <is>
          <t>Lock Wait / Deadlock 발생</t>
        </is>
      </c>
      <c r="D30" s="29" t="inlineStr">
        <is>
          <t>없음</t>
        </is>
      </c>
      <c r="E30" s="29" t="inlineStr">
        <is>
          <t>경합 폭증은 트랜잭션 정체→전면 지연으로 번짐.</t>
        </is>
      </c>
      <c r="F30" s="29" t="inlineStr">
        <is>
          <t>원본 2-14(Lock Wait)+2-15(Deadlock)를 통합하고 치명도 반영해 ★ 지정.</t>
        </is>
      </c>
    </row>
    <row r="31" ht="18" customHeight="1">
      <c r="A31" s="26" t="inlineStr">
        <is>
          <t>— 2절 정합성 —</t>
        </is>
      </c>
      <c r="B31" s="5" t="n"/>
      <c r="C31" s="5" t="n"/>
      <c r="D31" s="5" t="n"/>
      <c r="E31" s="5" t="n"/>
      <c r="F31" s="5" t="n"/>
    </row>
    <row r="32" ht="46" customHeight="1">
      <c r="A32" s="30" t="inlineStr">
        <is>
          <t>2-13</t>
        </is>
      </c>
      <c r="B32" s="28" t="inlineStr">
        <is>
          <t>신규(★)</t>
        </is>
      </c>
      <c r="C32" s="29" t="inlineStr">
        <is>
          <t>(전체 WAS 인스턴스 × 풀 Max) 합 ≤ DB Max Session</t>
        </is>
      </c>
      <c r="D32" s="29" t="inlineStr">
        <is>
          <t>충족</t>
        </is>
      </c>
      <c r="E32" s="29" t="inlineStr">
        <is>
          <t>각 WAS 커넥션풀 합이 DB Max Session을 넘으면 커넥션 거절→WAS 전체 대기. 가장 흔한 대형 장애 패턴.</t>
        </is>
      </c>
      <c r="F32" s="29" t="inlineStr">
        <is>
          <t>원본은 WAS·DB를 따로만 봐서 「둘 사이의 정합성」을 놓침. 신설+★.</t>
        </is>
      </c>
    </row>
    <row r="33" ht="46" customHeight="1">
      <c r="A33" s="30" t="inlineStr">
        <is>
          <t>2-14</t>
        </is>
      </c>
      <c r="B33" s="28" t="inlineStr">
        <is>
          <t>신규(★)</t>
        </is>
      </c>
      <c r="C33" s="29" t="inlineStr">
        <is>
          <t>증설(2-1) 반영 후에도 2-13 충족</t>
        </is>
      </c>
      <c r="D33" s="29" t="inlineStr">
        <is>
          <t>충족</t>
        </is>
      </c>
      <c r="E33" s="29" t="inlineStr">
        <is>
          <t>증설로 WAS 인스턴스가 늘면 커넥션 합도 비례 증가 → 오히려 DB 세션 초과를 유발하는 역설. 증설 계획을 반드시 재검증.</t>
        </is>
      </c>
      <c r="F33" s="29" t="inlineStr">
        <is>
          <t>증설이 장애를 일으키는 전형 사례라 별도 항목으로 강제.</t>
        </is>
      </c>
    </row>
    <row r="34" ht="18" customHeight="1">
      <c r="A34" s="26" t="inlineStr">
        <is>
          <t>— 3절 —</t>
        </is>
      </c>
      <c r="B34" s="5" t="n"/>
      <c r="C34" s="5" t="n"/>
      <c r="D34" s="5" t="n"/>
      <c r="E34" s="5" t="n"/>
      <c r="F34" s="5" t="n"/>
    </row>
    <row r="35" ht="46" customHeight="1">
      <c r="A35" s="27" t="inlineStr">
        <is>
          <t>3-1</t>
        </is>
      </c>
      <c r="B35" s="32" t="inlineStr">
        <is>
          <t>통합·수정</t>
        </is>
      </c>
      <c r="C35" s="29" t="inlineStr">
        <is>
          <t>채번 동시성 안전 방식 적용</t>
        </is>
      </c>
      <c r="D35" s="29" t="inlineStr">
        <is>
          <t>적용</t>
        </is>
      </c>
      <c r="E35" s="29" t="inlineStr">
        <is>
          <t>Select Max 채번은 동시성에서 중복·락 유발. 안전 방식(시퀀스/auto_increment/UUID 등) 사용이 핵심.</t>
        </is>
      </c>
      <c r="F35" s="29" t="inlineStr">
        <is>
          <t>원본 3-1(Select Max 미사용)+3-2(Sequence 사용)는 동일 사안의 양면이라 1개로 통합. 또한 "Sequence"는 DB 종속 표현(MySQL은 auto_increment)이라 일반화.</t>
        </is>
      </c>
    </row>
    <row r="36" ht="46" customHeight="1">
      <c r="A36" s="27" t="inlineStr">
        <is>
          <t>3-2</t>
        </is>
      </c>
      <c r="B36" s="31" t="inlineStr">
        <is>
          <t>유지</t>
        </is>
      </c>
      <c r="C36" s="29" t="inlineStr">
        <is>
          <t>최근 Lock 발생 SQL 수</t>
        </is>
      </c>
      <c r="D36" s="29" t="inlineStr">
        <is>
          <t>0 건 권고</t>
        </is>
      </c>
      <c r="E36" s="29" t="inlineStr">
        <is>
          <t>상시 Lock SQL은 부하 시 폭증.</t>
        </is>
      </c>
      <c r="F36" s="29" t="inlineStr">
        <is>
          <t>원본 3-3 유지(번호만 정정).</t>
        </is>
      </c>
    </row>
    <row r="37" ht="46" customHeight="1">
      <c r="A37" s="27" t="inlineStr">
        <is>
          <t>3-3</t>
        </is>
      </c>
      <c r="B37" s="31" t="inlineStr">
        <is>
          <t>유지</t>
        </is>
      </c>
      <c r="C37" s="29" t="inlineStr">
        <is>
          <t>동시 Update 집중 테이블 수</t>
        </is>
      </c>
      <c r="D37" s="29" t="inlineStr">
        <is>
          <t>-</t>
        </is>
      </c>
      <c r="E37" s="29" t="inlineStr">
        <is>
          <t>핫 로우/핫 테이블 경합 진단.</t>
        </is>
      </c>
      <c r="F37" s="29" t="inlineStr">
        <is>
          <t>원본 3-4 유지. 측정전용.</t>
        </is>
      </c>
    </row>
    <row r="38" ht="46" customHeight="1">
      <c r="A38" s="30" t="inlineStr">
        <is>
          <t>3-4</t>
        </is>
      </c>
      <c r="B38" s="31" t="inlineStr">
        <is>
          <t>유지(★)</t>
        </is>
      </c>
      <c r="C38" s="29" t="inlineStr">
        <is>
          <t>중복 요청 방지 로직 적용</t>
        </is>
      </c>
      <c r="D38" s="29" t="inlineStr">
        <is>
          <t>필수</t>
        </is>
      </c>
      <c r="E38" s="29" t="inlineStr">
        <is>
          <t>따닥 클릭·재요청·재시도로 인한 중복 처리·이중 결제·경합. 미적용 시 데이터 정합성까지 붕괴.</t>
        </is>
      </c>
      <c r="F38" s="29" t="inlineStr">
        <is>
          <t>원본 3-5 유지하되 치명도 반영해 ★.</t>
        </is>
      </c>
    </row>
    <row r="39" ht="18" customHeight="1">
      <c r="A39" s="26" t="inlineStr">
        <is>
          <t>— 4절 —</t>
        </is>
      </c>
      <c r="B39" s="5" t="n"/>
      <c r="C39" s="5" t="n"/>
      <c r="D39" s="5" t="n"/>
      <c r="E39" s="5" t="n"/>
      <c r="F39" s="5" t="n"/>
    </row>
    <row r="40" ht="46" customHeight="1">
      <c r="A40" s="27" t="inlineStr">
        <is>
          <t>4-1</t>
        </is>
      </c>
      <c r="B40" s="33" t="inlineStr">
        <is>
          <t>통합</t>
        </is>
      </c>
      <c r="C40" s="29" t="inlineStr">
        <is>
          <t>Slow Query / 1초 초과 SQL 건수</t>
        </is>
      </c>
      <c r="D40" s="29" t="inlineStr">
        <is>
          <t>0 건 권고</t>
        </is>
      </c>
      <c r="E40" s="29" t="inlineStr">
        <is>
          <t>단일 느린 SQL이 커넥션을 오래 점유→풀 고갈로 전파.</t>
        </is>
      </c>
      <c r="F40" s="29" t="inlineStr">
        <is>
          <t>원본 4-1(Slow Query)+4-2(1초 초과)를 통합(동일 성격).</t>
        </is>
      </c>
    </row>
    <row r="41" ht="46" customHeight="1">
      <c r="A41" s="27" t="inlineStr">
        <is>
          <t>4-2</t>
        </is>
      </c>
      <c r="B41" s="33" t="inlineStr">
        <is>
          <t>통합</t>
        </is>
      </c>
      <c r="C41" s="29" t="inlineStr">
        <is>
          <t>Full Scan / Index 미사용 SQL</t>
        </is>
      </c>
      <c r="D41" s="29" t="inlineStr">
        <is>
          <t>0 건 권고</t>
        </is>
      </c>
      <c r="E41" s="29" t="inlineStr">
        <is>
          <t>데이터 증가 시 스캔 비용이 선형 폭증.</t>
        </is>
      </c>
      <c r="F41" s="29" t="inlineStr">
        <is>
          <t>원본 4-3(Full Scan)+4-4(Index 미사용)를 통합.</t>
        </is>
      </c>
    </row>
    <row r="42" ht="46" customHeight="1">
      <c r="A42" s="27" t="inlineStr">
        <is>
          <t>4-3</t>
        </is>
      </c>
      <c r="B42" s="31" t="inlineStr">
        <is>
          <t>유지</t>
        </is>
      </c>
      <c r="C42" s="29" t="inlineStr">
        <is>
          <t>TOP SQL 점검 완료</t>
        </is>
      </c>
      <c r="D42" s="29" t="inlineStr">
        <is>
          <t>완료</t>
        </is>
      </c>
      <c r="E42" s="29" t="inlineStr">
        <is>
          <t>자원 소모 상위 SQL이 실제 병목.</t>
        </is>
      </c>
      <c r="F42" s="29" t="inlineStr">
        <is>
          <t>원본 4-5 유지.</t>
        </is>
      </c>
    </row>
    <row r="43" ht="46" customHeight="1">
      <c r="A43" s="27" t="inlineStr">
        <is>
          <t>4-4</t>
        </is>
      </c>
      <c r="B43" s="31" t="inlineStr">
        <is>
          <t>유지</t>
        </is>
      </c>
      <c r="C43" s="29" t="inlineStr">
        <is>
          <t>통계정보 최신화</t>
        </is>
      </c>
      <c r="D43" s="29" t="inlineStr">
        <is>
          <t>완료</t>
        </is>
      </c>
      <c r="E43" s="29" t="inlineStr">
        <is>
          <t>옵티마이저 오판→나쁜 실행계획 방지.</t>
        </is>
      </c>
      <c r="F43" s="29" t="inlineStr">
        <is>
          <t>원본 4-6 유지.</t>
        </is>
      </c>
    </row>
    <row r="44" ht="46" customHeight="1">
      <c r="A44" s="27" t="inlineStr">
        <is>
          <t>4-5</t>
        </is>
      </c>
      <c r="B44" s="28" t="inlineStr">
        <is>
          <t>신규</t>
        </is>
      </c>
      <c r="C44" s="29" t="inlineStr">
        <is>
          <t>이벤트 시간대 배치/통계/백업 충돌 차단</t>
        </is>
      </c>
      <c r="D44" s="29" t="inlineStr">
        <is>
          <t>충돌 없음</t>
        </is>
      </c>
      <c r="E44" s="29" t="inlineStr">
        <is>
          <t>이벤트 시간에 겹치는 배치·통계수집·백업이 I/O·락을 잠식해 동시 장애 유발.</t>
        </is>
      </c>
      <c r="F44" s="29" t="inlineStr">
        <is>
          <t>원본 부재. 운영 현장 단골 원인이라 신설.</t>
        </is>
      </c>
    </row>
    <row r="45" ht="18" customHeight="1">
      <c r="A45" s="26" t="inlineStr">
        <is>
          <t>— 5절 —</t>
        </is>
      </c>
      <c r="B45" s="5" t="n"/>
      <c r="C45" s="5" t="n"/>
      <c r="D45" s="5" t="n"/>
      <c r="E45" s="5" t="n"/>
      <c r="F45" s="5" t="n"/>
    </row>
    <row r="46" ht="46" customHeight="1">
      <c r="A46" s="27" t="inlineStr">
        <is>
          <t>5-1</t>
        </is>
      </c>
      <c r="B46" s="33" t="inlineStr">
        <is>
          <t>통합</t>
        </is>
      </c>
      <c r="C46" s="29" t="inlineStr">
        <is>
          <t>외부기관 연계 여부 / 연계기관 수</t>
        </is>
      </c>
      <c r="D46" s="29" t="inlineStr">
        <is>
          <t>확인</t>
        </is>
      </c>
      <c r="E46" s="29" t="inlineStr">
        <is>
          <t>연계 수가 많을수록 외부 의존 리스크 증가.</t>
        </is>
      </c>
      <c r="F46" s="29" t="inlineStr">
        <is>
          <t>원본 5-1(연계 여부)+5-2(기관 수) 통합.</t>
        </is>
      </c>
    </row>
    <row r="47" ht="46" customHeight="1">
      <c r="A47" s="27" t="inlineStr">
        <is>
          <t>5-2</t>
        </is>
      </c>
      <c r="B47" s="31" t="inlineStr">
        <is>
          <t>유지</t>
        </is>
      </c>
      <c r="C47" s="29" t="inlineStr">
        <is>
          <t>실제 평균 응답시간</t>
        </is>
      </c>
      <c r="D47" s="29" t="inlineStr">
        <is>
          <t>-</t>
        </is>
      </c>
      <c r="E47" s="29" t="inlineStr">
        <is>
          <t>Timeout·Retry 설정의 근거값.</t>
        </is>
      </c>
      <c r="F47" s="29" t="inlineStr">
        <is>
          <t>원본 5-3 유지. 측정전용.</t>
        </is>
      </c>
    </row>
    <row r="48" ht="46" customHeight="1">
      <c r="A48" s="27" t="inlineStr">
        <is>
          <t>5-3</t>
        </is>
      </c>
      <c r="B48" s="31" t="inlineStr">
        <is>
          <t>유지</t>
        </is>
      </c>
      <c r="C48" s="29" t="inlineStr">
        <is>
          <t>Timeout 설정</t>
        </is>
      </c>
      <c r="D48" s="29" t="inlineStr">
        <is>
          <t>5~10초 권고</t>
        </is>
      </c>
      <c r="E48" s="29" t="inlineStr">
        <is>
          <t>너무 길면 스레드 장시간 점유→고갈, 너무 짧으면 정상 응답까지 컷. 5~10초는 일반적 균형값(연계 특성 따라 조정).</t>
        </is>
      </c>
      <c r="F48" s="29" t="inlineStr">
        <is>
          <t>원본 5-4 유지.</t>
        </is>
      </c>
    </row>
    <row r="49" ht="46" customHeight="1">
      <c r="A49" s="30" t="inlineStr">
        <is>
          <t>5-4</t>
        </is>
      </c>
      <c r="B49" s="31" t="inlineStr">
        <is>
          <t>유지(★)</t>
        </is>
      </c>
      <c r="C49" s="29" t="inlineStr">
        <is>
          <t>Retry 정책 존재</t>
        </is>
      </c>
      <c r="D49" s="29" t="inlineStr">
        <is>
          <t>필수</t>
        </is>
      </c>
      <c r="E49" s="29" t="inlineStr">
        <is>
          <t>Retry/Timeout 없으면 외부 1곳 지연이 전체 WAS 스레드 고갈로 전파(장애 도미노).</t>
        </is>
      </c>
      <c r="F49" s="29" t="inlineStr">
        <is>
          <t>원본 5-5 유지+치명도 반영 ★.</t>
        </is>
      </c>
    </row>
    <row r="50" ht="46" customHeight="1">
      <c r="A50" s="27" t="inlineStr">
        <is>
          <t>5-5</t>
        </is>
      </c>
      <c r="B50" s="31" t="inlineStr">
        <is>
          <t>유지</t>
        </is>
      </c>
      <c r="C50" s="29" t="inlineStr">
        <is>
          <t>Circuit Breaker 적용</t>
        </is>
      </c>
      <c r="D50" s="29" t="inlineStr">
        <is>
          <t>권고</t>
        </is>
      </c>
      <c r="E50" s="29" t="inlineStr">
        <is>
          <t>반복 실패 시 빠른 차단으로 자원 보호.</t>
        </is>
      </c>
      <c r="F50" s="29" t="inlineStr">
        <is>
          <t>원본 5-6 유지.</t>
        </is>
      </c>
    </row>
    <row r="51" ht="46" customHeight="1">
      <c r="A51" s="27" t="inlineStr">
        <is>
          <t>5-6</t>
        </is>
      </c>
      <c r="B51" s="31" t="inlineStr">
        <is>
          <t>유지</t>
        </is>
      </c>
      <c r="C51" s="29" t="inlineStr">
        <is>
          <t>외부기관 부하 테스트 수행</t>
        </is>
      </c>
      <c r="D51" s="29" t="inlineStr">
        <is>
          <t>확인</t>
        </is>
      </c>
      <c r="E51" s="29" t="inlineStr">
        <is>
          <t>외부측 한계가 우리 한계가 됨.</t>
        </is>
      </c>
      <c r="F51" s="29" t="inlineStr">
        <is>
          <t>원본 5-7 유지.</t>
        </is>
      </c>
    </row>
    <row r="52" ht="18" customHeight="1">
      <c r="A52" s="26" t="inlineStr">
        <is>
          <t>— 6절 —</t>
        </is>
      </c>
      <c r="B52" s="5" t="n"/>
      <c r="C52" s="5" t="n"/>
      <c r="D52" s="5" t="n"/>
      <c r="E52" s="5" t="n"/>
      <c r="F52" s="5" t="n"/>
    </row>
    <row r="53" ht="46" customHeight="1">
      <c r="A53" s="27" t="inlineStr">
        <is>
          <t>6-1</t>
        </is>
      </c>
      <c r="B53" s="33" t="inlineStr">
        <is>
          <t>통합</t>
        </is>
      </c>
      <c r="C53" s="29" t="inlineStr">
        <is>
          <t>최대 TPS 검증치 / 예상 최대 TPS</t>
        </is>
      </c>
      <c r="D53" s="29" t="inlineStr">
        <is>
          <t>-</t>
        </is>
      </c>
      <c r="E53" s="29" t="inlineStr">
        <is>
          <t>증가율(6-2) 산정의 분모/분자.</t>
        </is>
      </c>
      <c r="F53" s="29" t="inlineStr">
        <is>
          <t>원본 6-1(검증치)+6-2(예상치) 통합. 측정전용.</t>
        </is>
      </c>
    </row>
    <row r="54" ht="46" customHeight="1">
      <c r="A54" s="27" t="inlineStr">
        <is>
          <t>6-2</t>
        </is>
      </c>
      <c r="B54" s="31" t="inlineStr">
        <is>
          <t>유지</t>
        </is>
      </c>
      <c r="C54" s="29" t="inlineStr">
        <is>
          <t>TPS 증가율</t>
        </is>
      </c>
      <c r="D54" s="29" t="inlineStr">
        <is>
          <t>120% 이하 권고</t>
        </is>
      </c>
      <c r="E54" s="29" t="inlineStr">
        <is>
          <t>검증 범위 초과 진입 억제.</t>
        </is>
      </c>
      <c r="F54" s="29" t="inlineStr">
        <is>
          <t>원본 6-3 유지.</t>
        </is>
      </c>
    </row>
    <row r="55" ht="46" customHeight="1">
      <c r="A55" s="27" t="inlineStr">
        <is>
          <t>6-3</t>
        </is>
      </c>
      <c r="B55" s="33" t="inlineStr">
        <is>
          <t>통합</t>
        </is>
      </c>
      <c r="C55" s="29" t="inlineStr">
        <is>
          <t>최대 동접 검증치 / 예상 최대 동접</t>
        </is>
      </c>
      <c r="D55" s="29" t="inlineStr">
        <is>
          <t>-</t>
        </is>
      </c>
      <c r="E55" s="29" t="inlineStr">
        <is>
          <t>동접 증가율 산정 입력.</t>
        </is>
      </c>
      <c r="F55" s="29" t="inlineStr">
        <is>
          <t>원본 6-4(검증치)+6-5(예상치) 통합. 측정전용.</t>
        </is>
      </c>
    </row>
    <row r="56" ht="46" customHeight="1">
      <c r="A56" s="27" t="inlineStr">
        <is>
          <t>6-4</t>
        </is>
      </c>
      <c r="B56" s="31" t="inlineStr">
        <is>
          <t>유지</t>
        </is>
      </c>
      <c r="C56" s="29" t="inlineStr">
        <is>
          <t>동접 증가율</t>
        </is>
      </c>
      <c r="D56" s="29" t="inlineStr">
        <is>
          <t>120% 이하 권고</t>
        </is>
      </c>
      <c r="E56" s="29" t="inlineStr">
        <is>
          <t>상동.</t>
        </is>
      </c>
      <c r="F56" s="29" t="inlineStr">
        <is>
          <t>원본 6-6 유지.</t>
        </is>
      </c>
    </row>
    <row r="57" ht="46" customHeight="1">
      <c r="A57" s="30" t="inlineStr">
        <is>
          <t>6-5</t>
        </is>
      </c>
      <c r="B57" s="28" t="inlineStr">
        <is>
          <t>신규(★)</t>
        </is>
      </c>
      <c r="C57" s="29" t="inlineStr">
        <is>
          <t>부하시험 유효성</t>
        </is>
      </c>
      <c r="D57" s="29" t="inlineStr">
        <is>
          <t>일치</t>
        </is>
      </c>
      <c r="E57" s="29" t="inlineStr">
        <is>
          <t>6개월 전·구버전·소량 데이터 기준의 검증치는 무의미. 측정 시점·코드/구성·데이터량이 현 운영본과 일치해야 1·6절 모든 증가율 판정의 분모가 신뢰 가능.</t>
        </is>
      </c>
      <c r="F57" s="29" t="inlineStr">
        <is>
          <t>원본은 검증치 "값"만 묻고 그 값의 유효성을 안 물음. 가장 근본적 누락이라 신설+★.</t>
        </is>
      </c>
    </row>
    <row r="58" ht="46" customHeight="1">
      <c r="A58" s="30" t="inlineStr">
        <is>
          <t>6-6</t>
        </is>
      </c>
      <c r="B58" s="33" t="inlineStr">
        <is>
          <t>통합(★)</t>
        </is>
      </c>
      <c r="C58" s="29" t="inlineStr">
        <is>
          <t>Scale-Out 가능 여부 / 추가 증설 가능 대수</t>
        </is>
      </c>
      <c r="D58" s="29" t="inlineStr">
        <is>
          <t>가능</t>
        </is>
      </c>
      <c r="E58" s="29" t="inlineStr">
        <is>
          <t>피크 시 수평 확장 불가하면 대응 수단 부재.</t>
        </is>
      </c>
      <c r="F58" s="29" t="inlineStr">
        <is>
          <t>원본 6-7(가능 여부)+6-8(증설 대수) 통합+★.</t>
        </is>
      </c>
    </row>
    <row r="59" ht="46" customHeight="1">
      <c r="A59" s="27" t="inlineStr">
        <is>
          <t>6-7</t>
        </is>
      </c>
      <c r="B59" s="33" t="inlineStr">
        <is>
          <t>통합</t>
        </is>
      </c>
      <c r="C59" s="29" t="inlineStr">
        <is>
          <t>유입 통제 솔루션 / 동시접속 제한</t>
        </is>
      </c>
      <c r="D59" s="29" t="inlineStr">
        <is>
          <t>권고</t>
        </is>
      </c>
      <c r="E59" s="29" t="inlineStr">
        <is>
          <t>대기열·유입제어로 폭주를 평탄화.</t>
        </is>
      </c>
      <c r="F59" s="29" t="inlineStr">
        <is>
          <t>원본 6-9(유입통제)+6-10(동시접속 제한) 통합.</t>
        </is>
      </c>
    </row>
    <row r="60" ht="18" customHeight="1">
      <c r="A60" s="26" t="inlineStr">
        <is>
          <t>— 7절 —</t>
        </is>
      </c>
      <c r="B60" s="5" t="n"/>
      <c r="C60" s="5" t="n"/>
      <c r="D60" s="5" t="n"/>
      <c r="E60" s="5" t="n"/>
      <c r="F60" s="5" t="n"/>
    </row>
    <row r="61" ht="46" customHeight="1">
      <c r="A61" s="27" t="inlineStr">
        <is>
          <t>7-1</t>
        </is>
      </c>
      <c r="B61" s="28" t="inlineStr">
        <is>
          <t>신규</t>
        </is>
      </c>
      <c r="C61" s="29" t="inlineStr">
        <is>
          <t>정적 콘텐츠 CDN 분리</t>
        </is>
      </c>
      <c r="D61" s="29" t="inlineStr">
        <is>
          <t>적용 권고</t>
        </is>
      </c>
      <c r="E61" s="29" t="inlineStr">
        <is>
          <t>정적자원을 Origin이 직접 처리하면 동적 처리 자원을 잠식.</t>
        </is>
      </c>
      <c r="F61" s="29" t="inlineStr">
        <is>
          <t>원본 부재. 부하 분산의 기본이라 신설.</t>
        </is>
      </c>
    </row>
    <row r="62" ht="46" customHeight="1">
      <c r="A62" s="27" t="inlineStr">
        <is>
          <t>7-2</t>
        </is>
      </c>
      <c r="B62" s="28" t="inlineStr">
        <is>
          <t>신규</t>
        </is>
      </c>
      <c r="C62" s="29" t="inlineStr">
        <is>
          <t>캐시 적중률</t>
        </is>
      </c>
      <c r="D62" s="29" t="inlineStr">
        <is>
          <t>높음</t>
        </is>
      </c>
      <c r="E62" s="29" t="inlineStr">
        <is>
          <t>적중률이 낮으면 캐시 효과 없이 백엔드 직격.</t>
        </is>
      </c>
      <c r="F62" s="29" t="inlineStr">
        <is>
          <t>캐시 존재≠효과라서 적중률을 별도 점검.</t>
        </is>
      </c>
    </row>
    <row r="63" ht="46" customHeight="1">
      <c r="A63" s="27" t="inlineStr">
        <is>
          <t>7-3</t>
        </is>
      </c>
      <c r="B63" s="28" t="inlineStr">
        <is>
          <t>신규</t>
        </is>
      </c>
      <c r="C63" s="29" t="inlineStr">
        <is>
          <t>Origin 직격 방지 (캐시 미스 폭주)</t>
        </is>
      </c>
      <c r="D63" s="29" t="inlineStr">
        <is>
          <t>점검</t>
        </is>
      </c>
      <c r="E63" s="29" t="inlineStr">
        <is>
          <t>동시 만료·콜드 캐시 시 미스 폭주가 Origin을 동시 타격(thundering herd).</t>
        </is>
      </c>
      <c r="F63" s="29" t="inlineStr">
        <is>
          <t>캐시 설계의 숨은 위험이라 신설.</t>
        </is>
      </c>
    </row>
    <row r="64" ht="18" customHeight="1">
      <c r="A64" s="26" t="inlineStr">
        <is>
          <t>— 8절 —</t>
        </is>
      </c>
      <c r="B64" s="5" t="n"/>
      <c r="C64" s="5" t="n"/>
      <c r="D64" s="5" t="n"/>
      <c r="E64" s="5" t="n"/>
      <c r="F64" s="5" t="n"/>
    </row>
    <row r="65" ht="46" customHeight="1">
      <c r="A65" s="27" t="inlineStr">
        <is>
          <t>8-1</t>
        </is>
      </c>
      <c r="B65" s="28" t="inlineStr">
        <is>
          <t>신규</t>
        </is>
      </c>
      <c r="C65" s="29" t="inlineStr">
        <is>
          <t>DB 쓰기 IOPS / I/O 지연</t>
        </is>
      </c>
      <c r="D65" s="29" t="inlineStr">
        <is>
          <t>여유</t>
        </is>
      </c>
      <c r="E65" s="29" t="inlineStr">
        <is>
          <t>쓰기 집중 이벤트에서 스토리지 I/O가 CPU보다 먼저 한계.</t>
        </is>
      </c>
      <c r="F65" s="29" t="inlineStr">
        <is>
          <t>원본은 자원 점검을 CPU/메모리에 한정. I/O 누락 보완.</t>
        </is>
      </c>
    </row>
    <row r="66" ht="46" customHeight="1">
      <c r="A66" s="27" t="inlineStr">
        <is>
          <t>8-2</t>
        </is>
      </c>
      <c r="B66" s="28" t="inlineStr">
        <is>
          <t>신규</t>
        </is>
      </c>
      <c r="C66" s="29" t="inlineStr">
        <is>
          <t>Redo·Archive 로그 증가 대응</t>
        </is>
      </c>
      <c r="D66" s="29" t="inlineStr">
        <is>
          <t>점검</t>
        </is>
      </c>
      <c r="E66" s="29" t="inlineStr">
        <is>
          <t>쓰기 폭증 시 Redo/Archive 급증→공간·I/O 압박, 아카이브 정체 시 DB 정지.</t>
        </is>
      </c>
      <c r="F66" s="29" t="inlineStr">
        <is>
          <t>DB 쓰기 부하의 대표 사각지대.</t>
        </is>
      </c>
    </row>
    <row r="67" ht="46" customHeight="1">
      <c r="A67" s="30" t="inlineStr">
        <is>
          <t>8-3</t>
        </is>
      </c>
      <c r="B67" s="28" t="inlineStr">
        <is>
          <t>신규(★)</t>
        </is>
      </c>
      <c r="C67" s="29" t="inlineStr">
        <is>
          <t>디스크 여유율 (로그 폭증 대비)</t>
        </is>
      </c>
      <c r="D67" s="29" t="inlineStr">
        <is>
          <t>Full 위험 없음</t>
        </is>
      </c>
      <c r="E67" s="29" t="inlineStr">
        <is>
          <t>부하 중 로그 폭증으로 디스크 Full → 서비스 즉시 정지. 8-4와 함께 관리.</t>
        </is>
      </c>
      <c r="F67" s="29" t="inlineStr">
        <is>
          <t>치명도 최상이라 ★. 원본 부재.</t>
        </is>
      </c>
    </row>
    <row r="68" ht="46" customHeight="1">
      <c r="A68" s="27" t="inlineStr">
        <is>
          <t>8-4</t>
        </is>
      </c>
      <c r="B68" s="28" t="inlineStr">
        <is>
          <t>신규</t>
        </is>
      </c>
      <c r="C68" s="29" t="inlineStr">
        <is>
          <t>로깅 레벨 (부하 중 DEBUG 금지)</t>
        </is>
      </c>
      <c r="D68" s="29" t="inlineStr">
        <is>
          <t>적정</t>
        </is>
      </c>
      <c r="E68" s="29" t="inlineStr">
        <is>
          <t>DEBUG 로깅은 부하 시 디스크·I/O를 폭증시켜 8-3을 유발.</t>
        </is>
      </c>
      <c r="F68" s="29" t="inlineStr">
        <is>
          <t>로그가 장애 원인이 되는 흔한 사례라 신설.</t>
        </is>
      </c>
    </row>
    <row r="69" ht="46" customHeight="1">
      <c r="A69" s="27" t="inlineStr">
        <is>
          <t>8-5</t>
        </is>
      </c>
      <c r="B69" s="28" t="inlineStr">
        <is>
          <t>신규</t>
        </is>
      </c>
      <c r="C69" s="29" t="inlineStr">
        <is>
          <t>구간 네트워크 대역폭 포화</t>
        </is>
      </c>
      <c r="D69" s="29" t="inlineStr">
        <is>
          <t>여유</t>
        </is>
      </c>
      <c r="E69" s="29" t="inlineStr">
        <is>
          <t>구간 대역폭 포화 시 자원이 멀쩡해도 전송 지연.</t>
        </is>
      </c>
      <c r="F69" s="29" t="inlineStr">
        <is>
          <t>네트워크 계층 누락 보완.</t>
        </is>
      </c>
    </row>
    <row r="70" ht="18" customHeight="1">
      <c r="A70" s="26" t="inlineStr">
        <is>
          <t>— 9절 —</t>
        </is>
      </c>
      <c r="B70" s="5" t="n"/>
      <c r="C70" s="5" t="n"/>
      <c r="D70" s="5" t="n"/>
      <c r="E70" s="5" t="n"/>
      <c r="F70" s="5" t="n"/>
    </row>
    <row r="71" ht="46" customHeight="1">
      <c r="A71" s="27" t="inlineStr">
        <is>
          <t>9-1</t>
        </is>
      </c>
      <c r="B71" s="28" t="inlineStr">
        <is>
          <t>신규</t>
        </is>
      </c>
      <c r="C71" s="29" t="inlineStr">
        <is>
          <t>실시간 모니터링 / APM 커버리지</t>
        </is>
      </c>
      <c r="D71" s="29" t="inlineStr">
        <is>
          <t>확보</t>
        </is>
      </c>
      <c r="E71" s="29" t="inlineStr">
        <is>
          <t>조기 탐지 여부가 장애와 무장애를 가름. 사각지대가 있으면 원인 규명 지연.</t>
        </is>
      </c>
      <c r="F71" s="29" t="inlineStr">
        <is>
          <t>원본은 "사전 점검"에만 집중하고 「이벤트 중 운영태세」가 없음. 신설.</t>
        </is>
      </c>
    </row>
    <row r="72" ht="46" customHeight="1">
      <c r="A72" s="27" t="inlineStr">
        <is>
          <t>9-2</t>
        </is>
      </c>
      <c r="B72" s="28" t="inlineStr">
        <is>
          <t>신규</t>
        </is>
      </c>
      <c r="C72" s="29" t="inlineStr">
        <is>
          <t>임계치 알람 설정</t>
        </is>
      </c>
      <c r="D72" s="29" t="inlineStr">
        <is>
          <t>설정</t>
        </is>
      </c>
      <c r="E72" s="29" t="inlineStr">
        <is>
          <t>임계 도달 전 선제 대응을 위한 트리거.</t>
        </is>
      </c>
      <c r="F72" s="29" t="inlineStr">
        <is>
          <t>모니터링 존재≠알람 설정. 별도 점검.</t>
        </is>
      </c>
    </row>
    <row r="73" ht="46" customHeight="1">
      <c r="A73" s="27" t="inlineStr">
        <is>
          <t>9-3</t>
        </is>
      </c>
      <c r="B73" s="28" t="inlineStr">
        <is>
          <t>신규</t>
        </is>
      </c>
      <c r="C73" s="29" t="inlineStr">
        <is>
          <t>War Room / On-call 편성·비상연락</t>
        </is>
      </c>
      <c r="D73" s="29" t="inlineStr">
        <is>
          <t>편성</t>
        </is>
      </c>
      <c r="E73" s="29" t="inlineStr">
        <is>
          <t>장애 시 의사결정·실행 주체가 정해져 있어야 대응 속도 확보.</t>
        </is>
      </c>
      <c r="F73" s="29" t="inlineStr">
        <is>
          <t>조직적 대응 준비 누락 보완.</t>
        </is>
      </c>
    </row>
    <row r="74" ht="46" customHeight="1">
      <c r="A74" s="30" t="inlineStr">
        <is>
          <t>9-4</t>
        </is>
      </c>
      <c r="B74" s="28" t="inlineStr">
        <is>
          <t>신규(★)</t>
        </is>
      </c>
      <c r="C74" s="29" t="inlineStr">
        <is>
          <t>롤백·저하운영(Kill-Switch) 계획</t>
        </is>
      </c>
      <c r="D74" s="29" t="inlineStr">
        <is>
          <t>수립</t>
        </is>
      </c>
      <c r="E74" s="29" t="inlineStr">
        <is>
          <t>문제 발생 시 비핵심 기능 차단·롤백·점검페이지 전환이 준비돼야 피해 최소화.</t>
        </is>
      </c>
      <c r="F74" s="29" t="inlineStr">
        <is>
          <t>복구 계획 부재는 장애를 장기화하므로 ★.</t>
        </is>
      </c>
    </row>
    <row r="75" ht="46" customHeight="1">
      <c r="A75" s="27" t="inlineStr">
        <is>
          <t>9-5</t>
        </is>
      </c>
      <c r="B75" s="28" t="inlineStr">
        <is>
          <t>신규</t>
        </is>
      </c>
      <c r="C75" s="29" t="inlineStr">
        <is>
          <t>대기열 / 점검페이지 전환 기준</t>
        </is>
      </c>
      <c r="D75" s="29" t="inlineStr">
        <is>
          <t>수립</t>
        </is>
      </c>
      <c r="E75" s="29" t="inlineStr">
        <is>
          <t>한계 도달 시 우아한 저하(graceful degradation)의 발동 조건을 사전 합의.</t>
        </is>
      </c>
      <c r="F75" s="29" t="inlineStr">
        <is>
          <t>즉흥 대응 방지를 위해 신설.</t>
        </is>
      </c>
    </row>
    <row r="76" ht="18" customHeight="1">
      <c r="A76" s="26" t="inlineStr">
        <is>
          <t>— 원본에서 통합·삭제된 항목 —</t>
        </is>
      </c>
      <c r="B76" s="5" t="n"/>
      <c r="C76" s="5" t="n"/>
      <c r="D76" s="5" t="n"/>
      <c r="E76" s="5" t="n"/>
      <c r="F76" s="5" t="n"/>
    </row>
    <row r="77" ht="46" customHeight="1">
      <c r="A77" s="27" t="inlineStr">
        <is>
          <t>원3-2</t>
        </is>
      </c>
      <c r="B77" s="34" t="inlineStr">
        <is>
          <t>삭제·통합</t>
        </is>
      </c>
      <c r="C77" s="29" t="inlineStr">
        <is>
          <t>(원본) Sequence 사용 여부</t>
        </is>
      </c>
      <c r="D77" s="29" t="inlineStr">
        <is>
          <t>-</t>
        </is>
      </c>
      <c r="E77" s="29" t="inlineStr">
        <is>
          <t>-</t>
        </is>
      </c>
      <c r="F77" s="29" t="inlineStr">
        <is>
          <t>3-1로 흡수. 또 "Sequence"는 DB 종속 표현이라 "채번 동시성 안전 방식"으로 일반화.</t>
        </is>
      </c>
    </row>
    <row r="78" ht="46" customHeight="1">
      <c r="A78" s="27" t="inlineStr">
        <is>
          <t>원2-11/12</t>
        </is>
      </c>
      <c r="B78" s="34" t="inlineStr">
        <is>
          <t>삭제·통합</t>
        </is>
      </c>
      <c r="C78" s="29" t="inlineStr">
        <is>
          <t>(원본) Active / Max Session 개별 항목</t>
        </is>
      </c>
      <c r="D78" s="29" t="inlineStr">
        <is>
          <t>-</t>
        </is>
      </c>
      <c r="E78" s="29" t="inlineStr">
        <is>
          <t>-</t>
        </is>
      </c>
      <c r="F78" s="29" t="inlineStr">
        <is>
          <t>2-10(측정)으로 통합, 채점은 2-11 풀 사용률로 일원화(이중계상 방지).</t>
        </is>
      </c>
    </row>
    <row r="79" ht="46" customHeight="1">
      <c r="A79" s="27" t="inlineStr">
        <is>
          <t>원2-14/15</t>
        </is>
      </c>
      <c r="B79" s="34" t="inlineStr">
        <is>
          <t>삭제·통합</t>
        </is>
      </c>
      <c r="C79" s="29" t="inlineStr">
        <is>
          <t>(원본) Lock Wait / Deadlock 개별 항목</t>
        </is>
      </c>
      <c r="D79" s="29" t="inlineStr">
        <is>
          <t>-</t>
        </is>
      </c>
      <c r="E79" s="29" t="inlineStr">
        <is>
          <t>-</t>
        </is>
      </c>
      <c r="F79" s="29" t="inlineStr">
        <is>
          <t>2-12 한 항목으로 통합.</t>
        </is>
      </c>
    </row>
    <row r="80" ht="46" customHeight="1">
      <c r="A80" s="27" t="inlineStr">
        <is>
          <t>원4-1~4-4</t>
        </is>
      </c>
      <c r="B80" s="34" t="inlineStr">
        <is>
          <t>삭제·통합</t>
        </is>
      </c>
      <c r="C80" s="29" t="inlineStr">
        <is>
          <t>(원본) Slow/1초/FullScan/Index 4개</t>
        </is>
      </c>
      <c r="D80" s="29" t="inlineStr">
        <is>
          <t>-</t>
        </is>
      </c>
      <c r="E80" s="29" t="inlineStr">
        <is>
          <t>-</t>
        </is>
      </c>
      <c r="F80" s="29" t="inlineStr">
        <is>
          <t>성격이 같아 4-1·4-2 두 항목으로 압축.</t>
        </is>
      </c>
    </row>
    <row r="81" ht="46" customHeight="1">
      <c r="A81" s="27" t="inlineStr">
        <is>
          <t>원6 다수</t>
        </is>
      </c>
      <c r="B81" s="34" t="inlineStr">
        <is>
          <t>삭제·통합</t>
        </is>
      </c>
      <c r="C81" s="29" t="inlineStr">
        <is>
          <t>(원본) 검증치·예상치 분리 항목들</t>
        </is>
      </c>
      <c r="D81" s="29" t="inlineStr">
        <is>
          <t>-</t>
        </is>
      </c>
      <c r="E81" s="29" t="inlineStr">
        <is>
          <t>-</t>
        </is>
      </c>
      <c r="F81" s="29" t="inlineStr">
        <is>
          <t>각 "검증치/예상치" 쌍을 한 줄로 통합(6-1,6-3,6-6,6-7).</t>
        </is>
      </c>
    </row>
  </sheetData>
  <mergeCells count="15">
    <mergeCell ref="A2:F2"/>
    <mergeCell ref="A11:F11"/>
    <mergeCell ref="A52:F52"/>
    <mergeCell ref="A60:F60"/>
    <mergeCell ref="A76:F76"/>
    <mergeCell ref="A1:F1"/>
    <mergeCell ref="A45:F45"/>
    <mergeCell ref="A70:F70"/>
    <mergeCell ref="A31:F31"/>
    <mergeCell ref="A17:F17"/>
    <mergeCell ref="A34:F34"/>
    <mergeCell ref="A4:F4"/>
    <mergeCell ref="A39:F39"/>
    <mergeCell ref="A64:F64"/>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2026-06-22T02:37:53Z</dcterms:created>
  <dcterms:modified xmlns:dcterms="http://purl.org/dc/terms/" xmlns:xsi="http://www.w3.org/2001/XMLSchema-instance" xsi:type="dcterms:W3CDTF">2026-06-22T02:39:51Z</dcterms:modified>
</cp:coreProperties>
</file>