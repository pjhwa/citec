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점검표" sheetId="1" state="visible" r:id="rId3"/>
    <sheet name="Critical 목록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<sst xmlns="http://schemas.openxmlformats.org/spreadsheetml/2006/main" count="276" uniqueCount="211">
  <si>
    <r>
      <rPr>
        <b val="true"/>
        <sz val="15"/>
        <color rgb="FFFFFFFF"/>
        <rFont val="Noto Sans CJK SC"/>
        <family val="2"/>
      </rPr>
      <t xml:space="preserve">대규모 집중 트랜잭션 이벤트 사전 성능 점검 체크리스트 </t>
    </r>
    <r>
      <rPr>
        <b val="true"/>
        <sz val="15"/>
        <color rgb="FFFFFFFF"/>
        <rFont val="Arial"/>
        <family val="0"/>
        <charset val="1"/>
      </rPr>
      <t xml:space="preserve">(v2)</t>
    </r>
  </si>
  <si>
    <r>
      <rPr>
        <i val="true"/>
        <sz val="9"/>
        <color rgb="FFC00000"/>
        <rFont val="Noto Sans CJK SC"/>
        <family val="2"/>
      </rPr>
      <t xml:space="preserve">판정 표기</t>
    </r>
    <r>
      <rPr>
        <i val="true"/>
        <sz val="9"/>
        <color rgb="FFC00000"/>
        <rFont val="Arial"/>
        <family val="0"/>
        <charset val="1"/>
      </rPr>
      <t xml:space="preserve">: OK / NG / N·A   |   ★ = Critical </t>
    </r>
    <r>
      <rPr>
        <i val="true"/>
        <sz val="9"/>
        <color rgb="FFC00000"/>
        <rFont val="Noto Sans CJK SC"/>
        <family val="2"/>
      </rPr>
      <t xml:space="preserve">항목 </t>
    </r>
    <r>
      <rPr>
        <i val="true"/>
        <sz val="9"/>
        <color rgb="FFC00000"/>
        <rFont val="Arial"/>
        <family val="0"/>
        <charset val="1"/>
      </rPr>
      <t xml:space="preserve">(NG </t>
    </r>
    <r>
      <rPr>
        <i val="true"/>
        <sz val="9"/>
        <color rgb="FFC00000"/>
        <rFont val="Noto Sans CJK SC"/>
        <family val="2"/>
      </rPr>
      <t xml:space="preserve">시 다른 항목과 무관하게 즉시 「위험」 확정</t>
    </r>
    <r>
      <rPr>
        <i val="true"/>
        <sz val="9"/>
        <color rgb="FFC00000"/>
        <rFont val="Arial"/>
        <family val="0"/>
        <charset val="1"/>
      </rPr>
      <t xml:space="preserve">)</t>
    </r>
  </si>
  <si>
    <t xml:space="preserve">■ 기본정보</t>
  </si>
  <si>
    <t xml:space="preserve">시스템명</t>
  </si>
  <si>
    <t xml:space="preserve">고객사</t>
  </si>
  <si>
    <t xml:space="preserve">이벤트명</t>
  </si>
  <si>
    <t xml:space="preserve">이벤트 일시</t>
  </si>
  <si>
    <r>
      <rPr>
        <b val="true"/>
        <sz val="10"/>
        <rFont val="Noto Sans CJK SC"/>
        <family val="2"/>
      </rPr>
      <t xml:space="preserve">점검일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점검자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검토자</t>
    </r>
  </si>
  <si>
    <r>
      <rPr>
        <b val="true"/>
        <sz val="10"/>
        <rFont val="Noto Sans CJK SC"/>
        <family val="2"/>
      </rPr>
      <t xml:space="preserve">예상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평시 사용자 수</t>
    </r>
  </si>
  <si>
    <r>
      <rPr>
        <b val="true"/>
        <sz val="10"/>
        <rFont val="Noto Sans CJK SC"/>
        <family val="2"/>
      </rPr>
      <t xml:space="preserve">시스템 구성도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최신본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확인</t>
    </r>
  </si>
  <si>
    <t xml:space="preserve">Y / N</t>
  </si>
  <si>
    <r>
      <rPr>
        <b val="true"/>
        <sz val="10"/>
        <rFont val="Noto Sans CJK SC"/>
        <family val="2"/>
      </rPr>
      <t xml:space="preserve">이벤트 종료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롤백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시각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기준</t>
    </r>
  </si>
  <si>
    <t xml:space="preserve">번호</t>
  </si>
  <si>
    <t xml:space="preserve">점검항목</t>
  </si>
  <si>
    <t xml:space="preserve">기준</t>
  </si>
  <si>
    <t xml:space="preserve">확인값</t>
  </si>
  <si>
    <t xml:space="preserve">판정</t>
  </si>
  <si>
    <t xml:space="preserve">★</t>
  </si>
  <si>
    <t xml:space="preserve">비고</t>
  </si>
  <si>
    <r>
      <rPr>
        <b val="true"/>
        <sz val="10.5"/>
        <color rgb="FFFFFFFF"/>
        <rFont val="Arial"/>
        <family val="0"/>
        <charset val="1"/>
      </rPr>
      <t xml:space="preserve">0. </t>
    </r>
    <r>
      <rPr>
        <b val="true"/>
        <sz val="10.5"/>
        <color rgb="FFFFFFFF"/>
        <rFont val="Noto Sans CJK SC"/>
        <family val="2"/>
      </rPr>
      <t xml:space="preserve">진입단 </t>
    </r>
    <r>
      <rPr>
        <b val="true"/>
        <sz val="10.5"/>
        <color rgb="FFFFFFFF"/>
        <rFont val="Arial"/>
        <family val="0"/>
        <charset val="1"/>
      </rPr>
      <t xml:space="preserve">(Web / LB) </t>
    </r>
    <r>
      <rPr>
        <b val="true"/>
        <sz val="10.5"/>
        <color rgb="FFFFFFFF"/>
        <rFont val="Noto Sans CJK SC"/>
        <family val="2"/>
      </rPr>
      <t xml:space="preserve">점검</t>
    </r>
  </si>
  <si>
    <t xml:space="preserve">0-1</t>
  </si>
  <si>
    <r>
      <rPr>
        <sz val="10"/>
        <rFont val="Arial"/>
        <family val="0"/>
        <charset val="1"/>
      </rPr>
      <t xml:space="preserve">Web MaxRequestWorkers / worker_connections </t>
    </r>
    <r>
      <rPr>
        <sz val="10"/>
        <rFont val="Noto Sans CJK SC"/>
        <family val="2"/>
      </rPr>
      <t xml:space="preserve">여유</t>
    </r>
  </si>
  <si>
    <r>
      <rPr>
        <sz val="10"/>
        <rFont val="Noto Sans CJK SC"/>
        <family val="2"/>
      </rPr>
      <t xml:space="preserve">예상 동접 대비 ≥</t>
    </r>
    <r>
      <rPr>
        <sz val="10"/>
        <rFont val="Arial"/>
        <family val="0"/>
        <charset val="1"/>
      </rPr>
      <t xml:space="preserve">150%</t>
    </r>
  </si>
  <si>
    <t xml:space="preserve">0-2</t>
  </si>
  <si>
    <r>
      <rPr>
        <sz val="10"/>
        <rFont val="Arial"/>
        <family val="0"/>
        <charset val="1"/>
      </rPr>
      <t xml:space="preserve">L4/L7 </t>
    </r>
    <r>
      <rPr>
        <sz val="10"/>
        <rFont val="Noto Sans CJK SC"/>
        <family val="2"/>
      </rPr>
      <t xml:space="preserve">동시 세션 한계 대비 예상치</t>
    </r>
  </si>
  <si>
    <r>
      <rPr>
        <sz val="10"/>
        <rFont val="Noto Sans CJK SC"/>
        <family val="2"/>
      </rPr>
      <t xml:space="preserve">한계의 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이하</t>
    </r>
  </si>
  <si>
    <t xml:space="preserve">0-3</t>
  </si>
  <si>
    <r>
      <rPr>
        <sz val="10"/>
        <rFont val="Noto Sans CJK SC"/>
        <family val="2"/>
      </rPr>
      <t xml:space="preserve">신규 세션 처리율</t>
    </r>
    <r>
      <rPr>
        <sz val="10"/>
        <rFont val="Arial"/>
        <family val="0"/>
        <charset val="1"/>
      </rPr>
      <t xml:space="preserve">(CPS) </t>
    </r>
    <r>
      <rPr>
        <sz val="10"/>
        <rFont val="Noto Sans CJK SC"/>
        <family val="2"/>
      </rPr>
      <t xml:space="preserve">한계 대비 예상치</t>
    </r>
  </si>
  <si>
    <t xml:space="preserve">0-4</t>
  </si>
  <si>
    <r>
      <rPr>
        <sz val="10"/>
        <rFont val="Arial"/>
        <family val="0"/>
        <charset val="1"/>
      </rPr>
      <t xml:space="preserve">SSL/TLS </t>
    </r>
    <r>
      <rPr>
        <sz val="10"/>
        <rFont val="Noto Sans CJK SC"/>
        <family val="2"/>
      </rPr>
      <t xml:space="preserve">핸드셰이크 부하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세션캐시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오프로드</t>
    </r>
  </si>
  <si>
    <t xml:space="preserve">적용 권고</t>
  </si>
  <si>
    <t xml:space="preserve">0-5</t>
  </si>
  <si>
    <r>
      <rPr>
        <sz val="10"/>
        <rFont val="Arial"/>
        <family val="0"/>
        <charset val="1"/>
      </rPr>
      <t xml:space="preserve">KeepAlive timeout / </t>
    </r>
    <r>
      <rPr>
        <sz val="10"/>
        <rFont val="Noto Sans CJK SC"/>
        <family val="2"/>
      </rPr>
      <t xml:space="preserve">백엔드 연결 재사용</t>
    </r>
  </si>
  <si>
    <t xml:space="preserve">점검</t>
  </si>
  <si>
    <t xml:space="preserve">0-6</t>
  </si>
  <si>
    <r>
      <rPr>
        <sz val="10"/>
        <rFont val="Noto Sans CJK SC"/>
        <family val="2"/>
      </rPr>
      <t xml:space="preserve">방화벽</t>
    </r>
    <r>
      <rPr>
        <sz val="10"/>
        <rFont val="Arial"/>
        <family val="0"/>
        <charset val="1"/>
      </rPr>
      <t xml:space="preserve">·LB </t>
    </r>
    <r>
      <rPr>
        <sz val="10"/>
        <rFont val="Noto Sans CJK SC"/>
        <family val="2"/>
      </rPr>
      <t xml:space="preserve">세션테이블</t>
    </r>
    <r>
      <rPr>
        <sz val="10"/>
        <rFont val="Arial"/>
        <family val="0"/>
        <charset val="1"/>
      </rPr>
      <t xml:space="preserve">(conntrack) </t>
    </r>
    <r>
      <rPr>
        <sz val="10"/>
        <rFont val="Noto Sans CJK SC"/>
        <family val="2"/>
      </rPr>
      <t xml:space="preserve">한계</t>
    </r>
  </si>
  <si>
    <t xml:space="preserve">여유 확보</t>
  </si>
  <si>
    <r>
      <rPr>
        <b val="true"/>
        <sz val="10.5"/>
        <color rgb="FFFFFFFF"/>
        <rFont val="Arial"/>
        <family val="0"/>
        <charset val="1"/>
      </rPr>
      <t xml:space="preserve">1. </t>
    </r>
    <r>
      <rPr>
        <b val="true"/>
        <sz val="10.5"/>
        <color rgb="FFFFFFFF"/>
        <rFont val="Noto Sans CJK SC"/>
        <family val="2"/>
      </rPr>
      <t xml:space="preserve">이벤트 규모 점검</t>
    </r>
  </si>
  <si>
    <t xml:space="preserve">1-1</t>
  </si>
  <si>
    <t xml:space="preserve">평시 동시접속자 수</t>
  </si>
  <si>
    <t xml:space="preserve">-</t>
  </si>
  <si>
    <t xml:space="preserve">N·A</t>
  </si>
  <si>
    <t xml:space="preserve">1-2</t>
  </si>
  <si>
    <t xml:space="preserve">예상 최대 동시접속자 수</t>
  </si>
  <si>
    <t xml:space="preserve">1-3</t>
  </si>
  <si>
    <r>
      <rPr>
        <sz val="10"/>
        <rFont val="Noto Sans CJK SC"/>
        <family val="2"/>
      </rPr>
      <t xml:space="preserve">사용자 증가율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절과 통일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</si>
  <si>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120% </t>
    </r>
    <r>
      <rPr>
        <sz val="10"/>
        <rFont val="Noto Sans CJK SC"/>
        <family val="2"/>
      </rPr>
      <t xml:space="preserve">이하 권고</t>
    </r>
  </si>
  <si>
    <t xml:space="preserve">1-4</t>
  </si>
  <si>
    <t xml:space="preserve">기존 성능검증 기준 동접자 수</t>
  </si>
  <si>
    <t xml:space="preserve">1-5</t>
  </si>
  <si>
    <t xml:space="preserve">검증기준 초과 여부</t>
  </si>
  <si>
    <t xml:space="preserve">초과 시 재검증</t>
  </si>
  <si>
    <r>
      <rPr>
        <b val="true"/>
        <sz val="10.5"/>
        <color rgb="FFFFFFFF"/>
        <rFont val="Arial"/>
        <family val="0"/>
        <charset val="1"/>
      </rPr>
      <t xml:space="preserve">2. </t>
    </r>
    <r>
      <rPr>
        <b val="true"/>
        <sz val="10.5"/>
        <color rgb="FFFFFFFF"/>
        <rFont val="Noto Sans CJK SC"/>
        <family val="2"/>
      </rPr>
      <t xml:space="preserve">인프라 자원 점검 — </t>
    </r>
    <r>
      <rPr>
        <b val="true"/>
        <sz val="10.5"/>
        <color rgb="FFFFFFFF"/>
        <rFont val="Arial"/>
        <family val="0"/>
        <charset val="1"/>
      </rPr>
      <t xml:space="preserve">WAS</t>
    </r>
  </si>
  <si>
    <t xml:space="preserve">2-1</t>
  </si>
  <si>
    <r>
      <rPr>
        <sz val="10"/>
        <rFont val="Arial"/>
        <family val="0"/>
        <charset val="1"/>
      </rPr>
      <t xml:space="preserve">WAS </t>
    </r>
    <r>
      <rPr>
        <sz val="10"/>
        <rFont val="Noto Sans CJK SC"/>
        <family val="2"/>
      </rPr>
      <t xml:space="preserve">서버 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증설 예정 수량</t>
    </r>
  </si>
  <si>
    <t xml:space="preserve">2-2</t>
  </si>
  <si>
    <r>
      <rPr>
        <sz val="10"/>
        <rFont val="Arial"/>
        <family val="0"/>
        <charset val="1"/>
      </rPr>
      <t xml:space="preserve">CPU Peak </t>
    </r>
    <r>
      <rPr>
        <sz val="10"/>
        <rFont val="Noto Sans CJK SC"/>
        <family val="2"/>
      </rPr>
      <t xml:space="preserve">사용률</t>
    </r>
  </si>
  <si>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이하</t>
    </r>
  </si>
  <si>
    <t xml:space="preserve">2-3</t>
  </si>
  <si>
    <r>
      <rPr>
        <sz val="10"/>
        <rFont val="Arial"/>
        <family val="0"/>
        <charset val="1"/>
      </rPr>
      <t xml:space="preserve">JVM Heap(Old Gen) </t>
    </r>
    <r>
      <rPr>
        <sz val="10"/>
        <rFont val="Noto Sans CJK SC"/>
        <family val="2"/>
      </rPr>
      <t xml:space="preserve">사용률</t>
    </r>
  </si>
  <si>
    <r>
      <rPr>
        <sz val="10"/>
        <rFont val="Arial"/>
        <family val="0"/>
        <charset val="1"/>
      </rPr>
      <t xml:space="preserve">80% </t>
    </r>
    <r>
      <rPr>
        <sz val="10"/>
        <rFont val="Noto Sans CJK SC"/>
        <family val="2"/>
      </rPr>
      <t xml:space="preserve">이하</t>
    </r>
  </si>
  <si>
    <t xml:space="preserve">2-4</t>
  </si>
  <si>
    <r>
      <rPr>
        <sz val="10"/>
        <rFont val="Arial"/>
        <family val="0"/>
        <charset val="1"/>
      </rPr>
      <t xml:space="preserve">Full GC </t>
    </r>
    <r>
      <rPr>
        <sz val="10"/>
        <rFont val="Noto Sans CJK SC"/>
        <family val="2"/>
      </rPr>
      <t xml:space="preserve">빈도 </t>
    </r>
    <r>
      <rPr>
        <sz val="10"/>
        <rFont val="Arial"/>
        <family val="0"/>
        <charset val="1"/>
      </rPr>
      <t xml:space="preserve">/ Pause </t>
    </r>
    <r>
      <rPr>
        <sz val="10"/>
        <rFont val="Noto Sans CJK SC"/>
        <family val="2"/>
      </rPr>
      <t xml:space="preserve">시간</t>
    </r>
  </si>
  <si>
    <r>
      <rPr>
        <sz val="10"/>
        <rFont val="Noto Sans CJK SC"/>
        <family val="2"/>
      </rPr>
      <t xml:space="preserve">빈번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장시간 없음</t>
    </r>
  </si>
  <si>
    <t xml:space="preserve">2-5</t>
  </si>
  <si>
    <r>
      <rPr>
        <sz val="10"/>
        <rFont val="Arial"/>
        <family val="0"/>
        <charset val="1"/>
      </rPr>
      <t xml:space="preserve">Thread Pool </t>
    </r>
    <r>
      <rPr>
        <sz val="10"/>
        <rFont val="Noto Sans CJK SC"/>
        <family val="2"/>
      </rPr>
      <t xml:space="preserve">사용률</t>
    </r>
  </si>
  <si>
    <t xml:space="preserve">2-6</t>
  </si>
  <si>
    <r>
      <rPr>
        <sz val="10"/>
        <rFont val="Arial"/>
        <family val="0"/>
        <charset val="1"/>
      </rPr>
      <t xml:space="preserve">Active Thread </t>
    </r>
    <r>
      <rPr>
        <sz val="10"/>
        <rFont val="Noto Sans CJK SC"/>
        <family val="2"/>
      </rPr>
      <t xml:space="preserve">수</t>
    </r>
  </si>
  <si>
    <t xml:space="preserve">2-7</t>
  </si>
  <si>
    <r>
      <rPr>
        <sz val="10"/>
        <rFont val="Arial"/>
        <family val="0"/>
        <charset val="1"/>
      </rPr>
      <t xml:space="preserve">Thread Queue </t>
    </r>
    <r>
      <rPr>
        <sz val="10"/>
        <rFont val="Noto Sans CJK SC"/>
        <family val="2"/>
      </rPr>
      <t xml:space="preserve">대기건수</t>
    </r>
  </si>
  <si>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건 권고</t>
    </r>
  </si>
  <si>
    <r>
      <rPr>
        <b val="true"/>
        <sz val="10.5"/>
        <color rgb="FFFFFFFF"/>
        <rFont val="Arial"/>
        <family val="0"/>
        <charset val="1"/>
      </rPr>
      <t xml:space="preserve">2. </t>
    </r>
    <r>
      <rPr>
        <b val="true"/>
        <sz val="10.5"/>
        <color rgb="FFFFFFFF"/>
        <rFont val="Noto Sans CJK SC"/>
        <family val="2"/>
      </rPr>
      <t xml:space="preserve">인프라 자원 점검 — </t>
    </r>
    <r>
      <rPr>
        <b val="true"/>
        <sz val="10.5"/>
        <color rgb="FFFFFFFF"/>
        <rFont val="Arial"/>
        <family val="0"/>
        <charset val="1"/>
      </rPr>
      <t xml:space="preserve">DB</t>
    </r>
  </si>
  <si>
    <t xml:space="preserve">2-8</t>
  </si>
  <si>
    <r>
      <rPr>
        <sz val="10"/>
        <rFont val="Arial"/>
        <family val="0"/>
        <charset val="1"/>
      </rPr>
      <t xml:space="preserve">DB CPU Peak </t>
    </r>
    <r>
      <rPr>
        <sz val="10"/>
        <rFont val="Noto Sans CJK SC"/>
        <family val="2"/>
      </rPr>
      <t xml:space="preserve">사용률</t>
    </r>
  </si>
  <si>
    <t xml:space="preserve">2-9</t>
  </si>
  <si>
    <r>
      <rPr>
        <sz val="10"/>
        <rFont val="Arial"/>
        <family val="0"/>
        <charset val="1"/>
      </rPr>
      <t xml:space="preserve">DB Memory </t>
    </r>
    <r>
      <rPr>
        <sz val="10"/>
        <rFont val="Noto Sans CJK SC"/>
        <family val="2"/>
      </rPr>
      <t xml:space="preserve">사용률</t>
    </r>
  </si>
  <si>
    <t xml:space="preserve">2-10</t>
  </si>
  <si>
    <r>
      <rPr>
        <sz val="10"/>
        <rFont val="Arial"/>
        <family val="0"/>
        <charset val="1"/>
      </rPr>
      <t xml:space="preserve">Active / Max Session </t>
    </r>
    <r>
      <rPr>
        <sz val="10"/>
        <rFont val="Noto Sans CJK SC"/>
        <family val="2"/>
      </rPr>
      <t xml:space="preserve">수</t>
    </r>
  </si>
  <si>
    <t xml:space="preserve">2-11</t>
  </si>
  <si>
    <r>
      <rPr>
        <sz val="10"/>
        <rFont val="Arial"/>
        <family val="0"/>
        <charset val="1"/>
      </rPr>
      <t xml:space="preserve">Connection Pool </t>
    </r>
    <r>
      <rPr>
        <sz val="10"/>
        <rFont val="Noto Sans CJK SC"/>
        <family val="2"/>
      </rPr>
      <t xml:space="preserve">사용률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채점 대상</t>
    </r>
    <r>
      <rPr>
        <sz val="10"/>
        <rFont val="Arial"/>
        <family val="0"/>
        <charset val="1"/>
      </rPr>
      <t xml:space="preserve">)</t>
    </r>
  </si>
  <si>
    <t xml:space="preserve">2-12</t>
  </si>
  <si>
    <r>
      <rPr>
        <sz val="10"/>
        <rFont val="Arial"/>
        <family val="0"/>
        <charset val="1"/>
      </rPr>
      <t xml:space="preserve">Lock Wait / Deadlock </t>
    </r>
    <r>
      <rPr>
        <sz val="10"/>
        <rFont val="Noto Sans CJK SC"/>
        <family val="2"/>
      </rPr>
      <t xml:space="preserve">발생</t>
    </r>
  </si>
  <si>
    <t xml:space="preserve">없음</t>
  </si>
  <si>
    <r>
      <rPr>
        <b val="true"/>
        <sz val="10.5"/>
        <color rgb="FFFFFFFF"/>
        <rFont val="Arial"/>
        <family val="0"/>
        <charset val="1"/>
      </rPr>
      <t xml:space="preserve">2. </t>
    </r>
    <r>
      <rPr>
        <b val="true"/>
        <sz val="10.5"/>
        <color rgb="FFFFFFFF"/>
        <rFont val="Noto Sans CJK SC"/>
        <family val="2"/>
      </rPr>
      <t xml:space="preserve">인프라 자원 점검 — </t>
    </r>
    <r>
      <rPr>
        <b val="true"/>
        <sz val="10.5"/>
        <color rgb="FFFFFFFF"/>
        <rFont val="Arial"/>
        <family val="0"/>
        <charset val="1"/>
      </rPr>
      <t xml:space="preserve">WAS↔DB </t>
    </r>
    <r>
      <rPr>
        <b val="true"/>
        <sz val="10.5"/>
        <color rgb="FFFFFFFF"/>
        <rFont val="Noto Sans CJK SC"/>
        <family val="2"/>
      </rPr>
      <t xml:space="preserve">정합성</t>
    </r>
  </si>
  <si>
    <t xml:space="preserve">2-13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</si>
  <si>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WAS </t>
    </r>
    <r>
      <rPr>
        <sz val="10"/>
        <rFont val="Noto Sans CJK SC"/>
        <family val="2"/>
      </rPr>
      <t xml:space="preserve">인스턴스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풀 </t>
    </r>
    <r>
      <rPr>
        <sz val="10"/>
        <rFont val="Arial"/>
        <family val="0"/>
        <charset val="1"/>
      </rPr>
      <t xml:space="preserve">Max) </t>
    </r>
    <r>
      <rPr>
        <sz val="10"/>
        <rFont val="Noto Sans CJK SC"/>
        <family val="2"/>
      </rPr>
      <t xml:space="preserve">합 ≤ </t>
    </r>
    <r>
      <rPr>
        <sz val="10"/>
        <rFont val="Arial"/>
        <family val="0"/>
        <charset val="1"/>
      </rPr>
      <t xml:space="preserve">DB Max Session</t>
    </r>
  </si>
  <si>
    <t xml:space="preserve">충족</t>
  </si>
  <si>
    <t xml:space="preserve">2-14</t>
  </si>
  <si>
    <r>
      <rPr>
        <sz val="10"/>
        <rFont val="Noto Sans CJK SC"/>
        <family val="2"/>
      </rPr>
      <t xml:space="preserve">증설</t>
    </r>
    <r>
      <rPr>
        <sz val="10"/>
        <rFont val="Arial"/>
        <family val="0"/>
        <charset val="1"/>
      </rPr>
      <t xml:space="preserve">(2-1) </t>
    </r>
    <r>
      <rPr>
        <sz val="10"/>
        <rFont val="Noto Sans CJK SC"/>
        <family val="2"/>
      </rPr>
      <t xml:space="preserve">반영 후에도 </t>
    </r>
    <r>
      <rPr>
        <sz val="10"/>
        <rFont val="Arial"/>
        <family val="0"/>
        <charset val="1"/>
      </rPr>
      <t xml:space="preserve">2-13 </t>
    </r>
    <r>
      <rPr>
        <sz val="10"/>
        <rFont val="Noto Sans CJK SC"/>
        <family val="2"/>
      </rPr>
      <t xml:space="preserve">충족</t>
    </r>
  </si>
  <si>
    <r>
      <rPr>
        <b val="true"/>
        <sz val="10.5"/>
        <color rgb="FFFFFFFF"/>
        <rFont val="Arial"/>
        <family val="0"/>
        <charset val="1"/>
      </rPr>
      <t xml:space="preserve">3. </t>
    </r>
    <r>
      <rPr>
        <b val="true"/>
        <sz val="10.5"/>
        <color rgb="FFFFFFFF"/>
        <rFont val="Noto Sans CJK SC"/>
        <family val="2"/>
      </rPr>
      <t xml:space="preserve">채번 및 </t>
    </r>
    <r>
      <rPr>
        <b val="true"/>
        <sz val="10.5"/>
        <color rgb="FFFFFFFF"/>
        <rFont val="Arial"/>
        <family val="0"/>
        <charset val="1"/>
      </rPr>
      <t xml:space="preserve">DB </t>
    </r>
    <r>
      <rPr>
        <b val="true"/>
        <sz val="10.5"/>
        <color rgb="FFFFFFFF"/>
        <rFont val="Noto Sans CJK SC"/>
        <family val="2"/>
      </rPr>
      <t xml:space="preserve">경합 점검</t>
    </r>
  </si>
  <si>
    <t xml:space="preserve">3-1</t>
  </si>
  <si>
    <r>
      <rPr>
        <sz val="10"/>
        <rFont val="Noto Sans CJK SC"/>
        <family val="2"/>
      </rPr>
      <t xml:space="preserve">채번 동시성 안전 방식 적용 </t>
    </r>
    <r>
      <rPr>
        <sz val="10"/>
        <rFont val="Arial"/>
        <family val="0"/>
        <charset val="1"/>
      </rPr>
      <t xml:space="preserve">(Select Max </t>
    </r>
    <r>
      <rPr>
        <sz val="10"/>
        <rFont val="Noto Sans CJK SC"/>
        <family val="2"/>
      </rPr>
      <t xml:space="preserve">미사용 </t>
    </r>
    <r>
      <rPr>
        <sz val="10"/>
        <rFont val="Arial"/>
        <family val="0"/>
        <charset val="1"/>
      </rPr>
      <t xml:space="preserve">/ Sequence·auto_increment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</si>
  <si>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t xml:space="preserve">적용</t>
  </si>
  <si>
    <t xml:space="preserve">3-2</t>
  </si>
  <si>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Lock </t>
    </r>
    <r>
      <rPr>
        <sz val="10"/>
        <rFont val="Noto Sans CJK SC"/>
        <family val="2"/>
      </rPr>
      <t xml:space="preserve">발생 </t>
    </r>
    <r>
      <rPr>
        <sz val="10"/>
        <rFont val="Arial"/>
        <family val="0"/>
        <charset val="1"/>
      </rPr>
      <t xml:space="preserve">SQL </t>
    </r>
    <r>
      <rPr>
        <sz val="10"/>
        <rFont val="Noto Sans CJK SC"/>
        <family val="2"/>
      </rPr>
      <t xml:space="preserve">수</t>
    </r>
  </si>
  <si>
    <t xml:space="preserve">3-3</t>
  </si>
  <si>
    <r>
      <rPr>
        <sz val="10"/>
        <rFont val="Noto Sans CJK SC"/>
        <family val="2"/>
      </rPr>
      <t xml:space="preserve">동시 </t>
    </r>
    <r>
      <rPr>
        <sz val="10"/>
        <rFont val="Arial"/>
        <family val="0"/>
        <charset val="1"/>
      </rPr>
      <t xml:space="preserve">Update </t>
    </r>
    <r>
      <rPr>
        <sz val="10"/>
        <rFont val="Noto Sans CJK SC"/>
        <family val="2"/>
      </rPr>
      <t xml:space="preserve">집중 테이블 수</t>
    </r>
  </si>
  <si>
    <t xml:space="preserve">3-4</t>
  </si>
  <si>
    <t xml:space="preserve">중복 요청 방지 로직 적용</t>
  </si>
  <si>
    <t xml:space="preserve">필수</t>
  </si>
  <si>
    <r>
      <rPr>
        <b val="true"/>
        <sz val="10.5"/>
        <color rgb="FFFFFFFF"/>
        <rFont val="Arial"/>
        <family val="0"/>
        <charset val="1"/>
      </rPr>
      <t xml:space="preserve">4. SQL </t>
    </r>
    <r>
      <rPr>
        <b val="true"/>
        <sz val="10.5"/>
        <color rgb="FFFFFFFF"/>
        <rFont val="Noto Sans CJK SC"/>
        <family val="2"/>
      </rPr>
      <t xml:space="preserve">성능 점검</t>
    </r>
  </si>
  <si>
    <t xml:space="preserve">4-1</t>
  </si>
  <si>
    <r>
      <rPr>
        <sz val="10"/>
        <rFont val="Arial"/>
        <family val="0"/>
        <charset val="1"/>
      </rPr>
      <t xml:space="preserve">Slow Query / 1</t>
    </r>
    <r>
      <rPr>
        <sz val="10"/>
        <rFont val="Noto Sans CJK SC"/>
        <family val="2"/>
      </rPr>
      <t xml:space="preserve">초 초과 </t>
    </r>
    <r>
      <rPr>
        <sz val="10"/>
        <rFont val="Arial"/>
        <family val="0"/>
        <charset val="1"/>
      </rPr>
      <t xml:space="preserve">SQL </t>
    </r>
    <r>
      <rPr>
        <sz val="10"/>
        <rFont val="Noto Sans CJK SC"/>
        <family val="2"/>
      </rPr>
      <t xml:space="preserve">건수</t>
    </r>
  </si>
  <si>
    <t xml:space="preserve">4-2</t>
  </si>
  <si>
    <r>
      <rPr>
        <sz val="10"/>
        <rFont val="Arial"/>
        <family val="0"/>
        <charset val="1"/>
      </rPr>
      <t xml:space="preserve">Full Scan / Index </t>
    </r>
    <r>
      <rPr>
        <sz val="10"/>
        <rFont val="Noto Sans CJK SC"/>
        <family val="2"/>
      </rPr>
      <t xml:space="preserve">미사용 </t>
    </r>
    <r>
      <rPr>
        <sz val="10"/>
        <rFont val="Arial"/>
        <family val="0"/>
        <charset val="1"/>
      </rPr>
      <t xml:space="preserve">SQL</t>
    </r>
  </si>
  <si>
    <t xml:space="preserve">4-3</t>
  </si>
  <si>
    <r>
      <rPr>
        <sz val="10"/>
        <rFont val="Arial"/>
        <family val="0"/>
        <charset val="1"/>
      </rPr>
      <t xml:space="preserve">TOP SQL </t>
    </r>
    <r>
      <rPr>
        <sz val="10"/>
        <rFont val="Noto Sans CJK SC"/>
        <family val="2"/>
      </rPr>
      <t xml:space="preserve">점검 완료</t>
    </r>
  </si>
  <si>
    <t xml:space="preserve">완료</t>
  </si>
  <si>
    <t xml:space="preserve">4-4</t>
  </si>
  <si>
    <t xml:space="preserve">통계정보 최신화</t>
  </si>
  <si>
    <t xml:space="preserve">4-5</t>
  </si>
  <si>
    <r>
      <rPr>
        <sz val="10"/>
        <rFont val="Noto Sans CJK SC"/>
        <family val="2"/>
      </rPr>
      <t xml:space="preserve">이벤트 시간대 배치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통계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백업 충돌 차단</t>
    </r>
  </si>
  <si>
    <t xml:space="preserve">충돌 없음</t>
  </si>
  <si>
    <r>
      <rPr>
        <b val="true"/>
        <sz val="10.5"/>
        <color rgb="FFFFFFFF"/>
        <rFont val="Arial"/>
        <family val="0"/>
        <charset val="1"/>
      </rPr>
      <t xml:space="preserve">5. </t>
    </r>
    <r>
      <rPr>
        <b val="true"/>
        <sz val="10.5"/>
        <color rgb="FFFFFFFF"/>
        <rFont val="Noto Sans CJK SC"/>
        <family val="2"/>
      </rPr>
      <t xml:space="preserve">외부기관 연계 점검</t>
    </r>
  </si>
  <si>
    <t xml:space="preserve">5-1</t>
  </si>
  <si>
    <r>
      <rPr>
        <sz val="10"/>
        <rFont val="Noto Sans CJK SC"/>
        <family val="2"/>
      </rPr>
      <t xml:space="preserve">외부기관 연계 여부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연계기관 수</t>
    </r>
  </si>
  <si>
    <t xml:space="preserve">확인</t>
  </si>
  <si>
    <t xml:space="preserve">5-2</t>
  </si>
  <si>
    <t xml:space="preserve">실제 평균 응답시간</t>
  </si>
  <si>
    <t xml:space="preserve">5-3</t>
  </si>
  <si>
    <r>
      <rPr>
        <sz val="10"/>
        <rFont val="Arial"/>
        <family val="0"/>
        <charset val="1"/>
      </rPr>
      <t xml:space="preserve">Timeout </t>
    </r>
    <r>
      <rPr>
        <sz val="10"/>
        <rFont val="Noto Sans CJK SC"/>
        <family val="2"/>
      </rPr>
      <t xml:space="preserve">설정</t>
    </r>
  </si>
  <si>
    <r>
      <rPr>
        <sz val="10"/>
        <rFont val="Arial"/>
        <family val="0"/>
        <charset val="1"/>
      </rPr>
      <t xml:space="preserve">5~10</t>
    </r>
    <r>
      <rPr>
        <sz val="10"/>
        <rFont val="Noto Sans CJK SC"/>
        <family val="2"/>
      </rPr>
      <t xml:space="preserve">초 권고</t>
    </r>
  </si>
  <si>
    <t xml:space="preserve">5-4</t>
  </si>
  <si>
    <r>
      <rPr>
        <sz val="10"/>
        <rFont val="Arial"/>
        <family val="0"/>
        <charset val="1"/>
      </rPr>
      <t xml:space="preserve">Retry </t>
    </r>
    <r>
      <rPr>
        <sz val="10"/>
        <rFont val="Noto Sans CJK SC"/>
        <family val="2"/>
      </rPr>
      <t xml:space="preserve">정책 존재</t>
    </r>
  </si>
  <si>
    <t xml:space="preserve">5-5</t>
  </si>
  <si>
    <r>
      <rPr>
        <sz val="10"/>
        <rFont val="Arial"/>
        <family val="0"/>
        <charset val="1"/>
      </rPr>
      <t xml:space="preserve">Circuit Breaker </t>
    </r>
    <r>
      <rPr>
        <sz val="10"/>
        <rFont val="Noto Sans CJK SC"/>
        <family val="2"/>
      </rPr>
      <t xml:space="preserve">적용</t>
    </r>
  </si>
  <si>
    <t xml:space="preserve">권고</t>
  </si>
  <si>
    <t xml:space="preserve">5-6</t>
  </si>
  <si>
    <t xml:space="preserve">외부기관 부하 테스트 수행</t>
  </si>
  <si>
    <r>
      <rPr>
        <b val="true"/>
        <sz val="10.5"/>
        <color rgb="FFFFFFFF"/>
        <rFont val="Arial"/>
        <family val="0"/>
        <charset val="1"/>
      </rPr>
      <t xml:space="preserve">6. </t>
    </r>
    <r>
      <rPr>
        <b val="true"/>
        <sz val="10.5"/>
        <color rgb="FFFFFFFF"/>
        <rFont val="Noto Sans CJK SC"/>
        <family val="2"/>
      </rPr>
      <t xml:space="preserve">집중 트래픽 대응 점검</t>
    </r>
  </si>
  <si>
    <t xml:space="preserve">6-1</t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</si>
  <si>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TPS </t>
    </r>
    <r>
      <rPr>
        <sz val="10"/>
        <rFont val="Noto Sans CJK SC"/>
        <family val="2"/>
      </rPr>
      <t xml:space="preserve">검증치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예상 최대 </t>
    </r>
    <r>
      <rPr>
        <sz val="10"/>
        <rFont val="Arial"/>
        <family val="0"/>
        <charset val="1"/>
      </rPr>
      <t xml:space="preserve">TPS</t>
    </r>
  </si>
  <si>
    <t xml:space="preserve">6-2</t>
  </si>
  <si>
    <r>
      <rPr>
        <sz val="10"/>
        <rFont val="Arial"/>
        <family val="0"/>
        <charset val="1"/>
      </rPr>
      <t xml:space="preserve">TPS </t>
    </r>
    <r>
      <rPr>
        <sz val="10"/>
        <rFont val="Noto Sans CJK SC"/>
        <family val="2"/>
      </rPr>
      <t xml:space="preserve">증가율</t>
    </r>
  </si>
  <si>
    <t xml:space="preserve">6-3</t>
  </si>
  <si>
    <r>
      <rPr>
        <sz val="10"/>
        <rFont val="Noto Sans CJK SC"/>
        <family val="2"/>
      </rPr>
      <t xml:space="preserve">최대 동접 검증치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예상 최대 동접</t>
    </r>
  </si>
  <si>
    <t xml:space="preserve">6-4</t>
  </si>
  <si>
    <t xml:space="preserve">동접 증가율</t>
  </si>
  <si>
    <t xml:space="preserve">6-5</t>
  </si>
  <si>
    <r>
      <rPr>
        <sz val="10"/>
        <rFont val="Noto Sans CJK SC"/>
        <family val="2"/>
      </rPr>
      <t xml:space="preserve">부하시험 유효성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측정 시점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데이터량이 현 운영본과 일치</t>
    </r>
    <r>
      <rPr>
        <sz val="10"/>
        <rFont val="Arial"/>
        <family val="0"/>
        <charset val="1"/>
      </rPr>
      <t xml:space="preserve">)</t>
    </r>
  </si>
  <si>
    <t xml:space="preserve">일치</t>
  </si>
  <si>
    <t xml:space="preserve">6-6</t>
  </si>
  <si>
    <r>
      <rPr>
        <sz val="10"/>
        <rFont val="Arial"/>
        <family val="0"/>
        <charset val="1"/>
      </rPr>
      <t xml:space="preserve">Scale-Out </t>
    </r>
    <r>
      <rPr>
        <sz val="10"/>
        <rFont val="Noto Sans CJK SC"/>
        <family val="2"/>
      </rPr>
      <t xml:space="preserve">가능 여부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추가 증설 가능 대수</t>
    </r>
  </si>
  <si>
    <t xml:space="preserve">가능</t>
  </si>
  <si>
    <t xml:space="preserve">6-7</t>
  </si>
  <si>
    <r>
      <rPr>
        <sz val="10"/>
        <rFont val="Noto Sans CJK SC"/>
        <family val="2"/>
      </rPr>
      <t xml:space="preserve">유입 통제 솔루션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동시접속 제한 기능</t>
    </r>
  </si>
  <si>
    <r>
      <rPr>
        <b val="true"/>
        <sz val="10.5"/>
        <color rgb="FFFFFFFF"/>
        <rFont val="Arial"/>
        <family val="0"/>
        <charset val="1"/>
      </rPr>
      <t xml:space="preserve">7. </t>
    </r>
    <r>
      <rPr>
        <b val="true"/>
        <sz val="10.5"/>
        <color rgb="FFFFFFFF"/>
        <rFont val="Noto Sans CJK SC"/>
        <family val="2"/>
      </rPr>
      <t xml:space="preserve">캐시 </t>
    </r>
    <r>
      <rPr>
        <b val="true"/>
        <sz val="10.5"/>
        <color rgb="FFFFFFFF"/>
        <rFont val="Arial"/>
        <family val="0"/>
        <charset val="1"/>
      </rPr>
      <t xml:space="preserve">/ CDN / </t>
    </r>
    <r>
      <rPr>
        <b val="true"/>
        <sz val="10.5"/>
        <color rgb="FFFFFFFF"/>
        <rFont val="Noto Sans CJK SC"/>
        <family val="2"/>
      </rPr>
      <t xml:space="preserve">정적자원</t>
    </r>
  </si>
  <si>
    <t xml:space="preserve">7-1</t>
  </si>
  <si>
    <r>
      <rPr>
        <sz val="10"/>
        <rFont val="Noto Sans CJK SC"/>
        <family val="2"/>
      </rPr>
      <t xml:space="preserve">정적 콘텐츠 </t>
    </r>
    <r>
      <rPr>
        <sz val="10"/>
        <rFont val="Arial"/>
        <family val="0"/>
        <charset val="1"/>
      </rPr>
      <t xml:space="preserve">CDN </t>
    </r>
    <r>
      <rPr>
        <sz val="10"/>
        <rFont val="Noto Sans CJK SC"/>
        <family val="2"/>
      </rPr>
      <t xml:space="preserve">분리</t>
    </r>
  </si>
  <si>
    <t xml:space="preserve">7-2</t>
  </si>
  <si>
    <t xml:space="preserve">캐시 적중률</t>
  </si>
  <si>
    <t xml:space="preserve">높음</t>
  </si>
  <si>
    <t xml:space="preserve">7-3</t>
  </si>
  <si>
    <r>
      <rPr>
        <sz val="10"/>
        <rFont val="Arial"/>
        <family val="0"/>
        <charset val="1"/>
      </rPr>
      <t xml:space="preserve">Origin </t>
    </r>
    <r>
      <rPr>
        <sz val="10"/>
        <rFont val="Noto Sans CJK SC"/>
        <family val="2"/>
      </rPr>
      <t xml:space="preserve">직격 방지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캐시 미스 폭주 대비</t>
    </r>
    <r>
      <rPr>
        <sz val="10"/>
        <rFont val="Arial"/>
        <family val="0"/>
        <charset val="1"/>
      </rPr>
      <t xml:space="preserve">)</t>
    </r>
  </si>
  <si>
    <r>
      <rPr>
        <b val="true"/>
        <sz val="10.5"/>
        <color rgb="FFFFFFFF"/>
        <rFont val="Arial"/>
        <family val="0"/>
        <charset val="1"/>
      </rPr>
      <t xml:space="preserve">8. </t>
    </r>
    <r>
      <rPr>
        <b val="true"/>
        <sz val="10.5"/>
        <color rgb="FFFFFFFF"/>
        <rFont val="Noto Sans CJK SC"/>
        <family val="2"/>
      </rPr>
      <t xml:space="preserve">스토리지 </t>
    </r>
    <r>
      <rPr>
        <b val="true"/>
        <sz val="10.5"/>
        <color rgb="FFFFFFFF"/>
        <rFont val="Arial"/>
        <family val="0"/>
        <charset val="1"/>
      </rPr>
      <t xml:space="preserve">/ </t>
    </r>
    <r>
      <rPr>
        <b val="true"/>
        <sz val="10.5"/>
        <color rgb="FFFFFFFF"/>
        <rFont val="Noto Sans CJK SC"/>
        <family val="2"/>
      </rPr>
      <t xml:space="preserve">네트워크 자원</t>
    </r>
  </si>
  <si>
    <t xml:space="preserve">8-1</t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</si>
  <si>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쓰기 </t>
    </r>
    <r>
      <rPr>
        <sz val="10"/>
        <rFont val="Arial"/>
        <family val="0"/>
        <charset val="1"/>
      </rPr>
      <t xml:space="preserve">IOPS / I/O </t>
    </r>
    <r>
      <rPr>
        <sz val="10"/>
        <rFont val="Noto Sans CJK SC"/>
        <family val="2"/>
      </rPr>
      <t xml:space="preserve">지연</t>
    </r>
  </si>
  <si>
    <t xml:space="preserve">여유</t>
  </si>
  <si>
    <t xml:space="preserve">8-2</t>
  </si>
  <si>
    <r>
      <rPr>
        <sz val="10"/>
        <rFont val="Arial"/>
        <family val="0"/>
        <charset val="1"/>
      </rPr>
      <t xml:space="preserve">Redo·Archive </t>
    </r>
    <r>
      <rPr>
        <sz val="10"/>
        <rFont val="Noto Sans CJK SC"/>
        <family val="2"/>
      </rPr>
      <t xml:space="preserve">로그 증가 대응</t>
    </r>
  </si>
  <si>
    <t xml:space="preserve">8-3</t>
  </si>
  <si>
    <r>
      <rPr>
        <sz val="10"/>
        <rFont val="Noto Sans CJK SC"/>
        <family val="2"/>
      </rPr>
      <t xml:space="preserve">디스크 여유율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로그 폭증 대비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</si>
  <si>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Full </t>
    </r>
    <r>
      <rPr>
        <sz val="10"/>
        <rFont val="Noto Sans CJK SC"/>
        <family val="2"/>
      </rPr>
      <t xml:space="preserve">위험 없음</t>
    </r>
  </si>
  <si>
    <t xml:space="preserve">8-4</t>
  </si>
  <si>
    <r>
      <rPr>
        <sz val="10"/>
        <rFont val="Noto Sans CJK SC"/>
        <family val="2"/>
      </rPr>
      <t xml:space="preserve">로깅 레벨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부하 중 </t>
    </r>
    <r>
      <rPr>
        <sz val="10"/>
        <rFont val="Arial"/>
        <family val="0"/>
        <charset val="1"/>
      </rPr>
      <t xml:space="preserve">DEBUG </t>
    </r>
    <r>
      <rPr>
        <sz val="10"/>
        <rFont val="Noto Sans CJK SC"/>
        <family val="2"/>
      </rPr>
      <t xml:space="preserve">금지</t>
    </r>
    <r>
      <rPr>
        <sz val="10"/>
        <rFont val="Arial"/>
        <family val="0"/>
        <charset val="1"/>
      </rPr>
      <t xml:space="preserve">)</t>
    </r>
  </si>
  <si>
    <t xml:space="preserve">적정</t>
  </si>
  <si>
    <t xml:space="preserve">8-5</t>
  </si>
  <si>
    <t xml:space="preserve">구간 네트워크 대역폭 포화 여부</t>
  </si>
  <si>
    <r>
      <rPr>
        <b val="true"/>
        <sz val="10.5"/>
        <color rgb="FFFFFFFF"/>
        <rFont val="Arial"/>
        <family val="0"/>
        <charset val="1"/>
      </rPr>
      <t xml:space="preserve">9. </t>
    </r>
    <r>
      <rPr>
        <b val="true"/>
        <sz val="10.5"/>
        <color rgb="FFFFFFFF"/>
        <rFont val="Noto Sans CJK SC"/>
        <family val="2"/>
      </rPr>
      <t xml:space="preserve">운영 준비태세 및 비상대응</t>
    </r>
  </si>
  <si>
    <t xml:space="preserve">9-1</t>
  </si>
  <si>
    <r>
      <rPr>
        <sz val="10"/>
        <rFont val="Noto Sans CJK SC"/>
        <family val="2"/>
      </rPr>
      <t xml:space="preserve">실시간 모니터링 </t>
    </r>
    <r>
      <rPr>
        <sz val="10"/>
        <rFont val="Arial"/>
        <family val="0"/>
        <charset val="1"/>
      </rPr>
      <t xml:space="preserve">/ APM </t>
    </r>
    <r>
      <rPr>
        <sz val="10"/>
        <rFont val="Noto Sans CJK SC"/>
        <family val="2"/>
      </rPr>
      <t xml:space="preserve">커버리지</t>
    </r>
  </si>
  <si>
    <t xml:space="preserve">확보</t>
  </si>
  <si>
    <t xml:space="preserve">9-2</t>
  </si>
  <si>
    <t xml:space="preserve">임계치 알람 설정</t>
  </si>
  <si>
    <t xml:space="preserve">설정</t>
  </si>
  <si>
    <t xml:space="preserve">9-3</t>
  </si>
  <si>
    <r>
      <rPr>
        <sz val="10"/>
        <rFont val="Arial"/>
        <family val="0"/>
        <charset val="1"/>
      </rPr>
      <t xml:space="preserve">War Room / On-call </t>
    </r>
    <r>
      <rPr>
        <sz val="10"/>
        <rFont val="Noto Sans CJK SC"/>
        <family val="2"/>
      </rPr>
      <t xml:space="preserve">편성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비상연락체계</t>
    </r>
  </si>
  <si>
    <t xml:space="preserve">편성</t>
  </si>
  <si>
    <t xml:space="preserve">9-4</t>
  </si>
  <si>
    <r>
      <rPr>
        <sz val="10"/>
        <rFont val="Noto Sans CJK SC"/>
        <family val="2"/>
      </rPr>
      <t xml:space="preserve">롤백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저하운영</t>
    </r>
    <r>
      <rPr>
        <sz val="10"/>
        <rFont val="Arial"/>
        <family val="0"/>
        <charset val="1"/>
      </rPr>
      <t xml:space="preserve">(Kill-Switch) </t>
    </r>
    <r>
      <rPr>
        <sz val="10"/>
        <rFont val="Noto Sans CJK SC"/>
        <family val="2"/>
      </rPr>
      <t xml:space="preserve">계획</t>
    </r>
  </si>
  <si>
    <t xml:space="preserve">수립</t>
  </si>
  <si>
    <t xml:space="preserve">9-5</t>
  </si>
  <si>
    <r>
      <rPr>
        <sz val="10"/>
        <rFont val="Noto Sans CJK SC"/>
        <family val="2"/>
      </rPr>
      <t xml:space="preserve">대기열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점검페이지 전환 기준</t>
    </r>
  </si>
  <si>
    <r>
      <rPr>
        <b val="true"/>
        <sz val="12"/>
        <color rgb="FFFFFFFF"/>
        <rFont val="Noto Sans CJK SC"/>
        <family val="2"/>
      </rPr>
      <t xml:space="preserve">■ 최종 위험도 평가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SC"/>
        <family val="2"/>
      </rPr>
      <t xml:space="preserve">자동 산정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</si>
  <si>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Critical(★) NG </t>
    </r>
    <r>
      <rPr>
        <b val="true"/>
        <sz val="10"/>
        <rFont val="Noto Sans CJK SC"/>
        <family val="2"/>
      </rPr>
      <t xml:space="preserve">건수</t>
    </r>
  </si>
  <si>
    <r>
      <rPr>
        <b val="true"/>
        <sz val="10"/>
        <rFont val="Noto Sans CJK SC"/>
        <family val="2"/>
      </rPr>
      <t xml:space="preserve">일반 </t>
    </r>
    <r>
      <rPr>
        <b val="true"/>
        <sz val="10"/>
        <rFont val="Arial"/>
        <family val="0"/>
        <charset val="1"/>
      </rPr>
      <t xml:space="preserve">NG </t>
    </r>
    <r>
      <rPr>
        <b val="true"/>
        <sz val="10"/>
        <rFont val="Noto Sans CJK SC"/>
        <family val="2"/>
      </rPr>
      <t xml:space="preserve">건수</t>
    </r>
  </si>
  <si>
    <r>
      <rPr>
        <b val="true"/>
        <sz val="10"/>
        <rFont val="Arial"/>
        <family val="0"/>
        <charset val="1"/>
      </rPr>
      <t xml:space="preserve">OK </t>
    </r>
    <r>
      <rPr>
        <b val="true"/>
        <sz val="10"/>
        <rFont val="Noto Sans CJK SC"/>
        <family val="2"/>
      </rPr>
      <t xml:space="preserve">건수</t>
    </r>
  </si>
  <si>
    <r>
      <rPr>
        <b val="true"/>
        <sz val="10"/>
        <rFont val="Noto Sans CJK SC"/>
        <family val="2"/>
      </rPr>
      <t xml:space="preserve">미점검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공란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건수</t>
    </r>
  </si>
  <si>
    <t xml:space="preserve">▶ 종합 판정</t>
  </si>
  <si>
    <r>
      <rPr>
        <i val="true"/>
        <sz val="9"/>
        <color rgb="FF404040"/>
        <rFont val="Noto Sans CJK SC"/>
        <family val="2"/>
      </rPr>
      <t xml:space="preserve">판정 로직</t>
    </r>
    <r>
      <rPr>
        <i val="true"/>
        <sz val="9"/>
        <color rgb="FF404040"/>
        <rFont val="Arial"/>
        <family val="0"/>
        <charset val="1"/>
      </rPr>
      <t xml:space="preserve">:  </t>
    </r>
    <r>
      <rPr>
        <i val="true"/>
        <sz val="9"/>
        <color rgb="FF404040"/>
        <rFont val="Noto Sans CJK SC"/>
        <family val="2"/>
      </rPr>
      <t xml:space="preserve">위험 </t>
    </r>
    <r>
      <rPr>
        <i val="true"/>
        <sz val="9"/>
        <color rgb="FF404040"/>
        <rFont val="Arial"/>
        <family val="0"/>
        <charset val="1"/>
      </rPr>
      <t xml:space="preserve">= ★ NG 1</t>
    </r>
    <r>
      <rPr>
        <i val="true"/>
        <sz val="9"/>
        <color rgb="FF404040"/>
        <rFont val="Noto Sans CJK SC"/>
        <family val="2"/>
      </rPr>
      <t xml:space="preserve">개 이상  또는  일반 </t>
    </r>
    <r>
      <rPr>
        <i val="true"/>
        <sz val="9"/>
        <color rgb="FF404040"/>
        <rFont val="Arial"/>
        <family val="0"/>
        <charset val="1"/>
      </rPr>
      <t xml:space="preserve">NG 6</t>
    </r>
    <r>
      <rPr>
        <i val="true"/>
        <sz val="9"/>
        <color rgb="FF404040"/>
        <rFont val="Noto Sans CJK SC"/>
        <family val="2"/>
      </rPr>
      <t xml:space="preserve">개 이상   </t>
    </r>
    <r>
      <rPr>
        <i val="true"/>
        <sz val="9"/>
        <color rgb="FF404040"/>
        <rFont val="Arial"/>
        <family val="0"/>
        <charset val="1"/>
      </rPr>
      <t xml:space="preserve">|   </t>
    </r>
    <r>
      <rPr>
        <i val="true"/>
        <sz val="9"/>
        <color rgb="FF404040"/>
        <rFont val="Noto Sans CJK SC"/>
        <family val="2"/>
      </rPr>
      <t xml:space="preserve">주의 </t>
    </r>
    <r>
      <rPr>
        <i val="true"/>
        <sz val="9"/>
        <color rgb="FF404040"/>
        <rFont val="Arial"/>
        <family val="0"/>
        <charset val="1"/>
      </rPr>
      <t xml:space="preserve">= </t>
    </r>
    <r>
      <rPr>
        <i val="true"/>
        <sz val="9"/>
        <color rgb="FF404040"/>
        <rFont val="Noto Sans CJK SC"/>
        <family val="2"/>
      </rPr>
      <t xml:space="preserve">일반 </t>
    </r>
    <r>
      <rPr>
        <i val="true"/>
        <sz val="9"/>
        <color rgb="FF404040"/>
        <rFont val="Arial"/>
        <family val="0"/>
        <charset val="1"/>
      </rPr>
      <t xml:space="preserve">NG 2~5</t>
    </r>
    <r>
      <rPr>
        <i val="true"/>
        <sz val="9"/>
        <color rgb="FF404040"/>
        <rFont val="Noto Sans CJK SC"/>
        <family val="2"/>
      </rPr>
      <t xml:space="preserve">개 </t>
    </r>
    <r>
      <rPr>
        <i val="true"/>
        <sz val="9"/>
        <color rgb="FF404040"/>
        <rFont val="Arial"/>
        <family val="0"/>
        <charset val="1"/>
      </rPr>
      <t xml:space="preserve">(★ NG </t>
    </r>
    <r>
      <rPr>
        <i val="true"/>
        <sz val="9"/>
        <color rgb="FF404040"/>
        <rFont val="Noto Sans CJK SC"/>
        <family val="2"/>
      </rPr>
      <t xml:space="preserve">없음</t>
    </r>
    <r>
      <rPr>
        <i val="true"/>
        <sz val="9"/>
        <color rgb="FF404040"/>
        <rFont val="Arial"/>
        <family val="0"/>
        <charset val="1"/>
      </rPr>
      <t xml:space="preserve">)   |   </t>
    </r>
    <r>
      <rPr>
        <i val="true"/>
        <sz val="9"/>
        <color rgb="FF404040"/>
        <rFont val="Noto Sans CJK SC"/>
        <family val="2"/>
      </rPr>
      <t xml:space="preserve">정상 </t>
    </r>
    <r>
      <rPr>
        <i val="true"/>
        <sz val="9"/>
        <color rgb="FF404040"/>
        <rFont val="Arial"/>
        <family val="0"/>
        <charset val="1"/>
      </rPr>
      <t xml:space="preserve">= </t>
    </r>
    <r>
      <rPr>
        <i val="true"/>
        <sz val="9"/>
        <color rgb="FF404040"/>
        <rFont val="Noto Sans CJK SC"/>
        <family val="2"/>
      </rPr>
      <t xml:space="preserve">일반 </t>
    </r>
    <r>
      <rPr>
        <i val="true"/>
        <sz val="9"/>
        <color rgb="FF404040"/>
        <rFont val="Arial"/>
        <family val="0"/>
        <charset val="1"/>
      </rPr>
      <t xml:space="preserve">NG 0~1</t>
    </r>
    <r>
      <rPr>
        <i val="true"/>
        <sz val="9"/>
        <color rgb="FF404040"/>
        <rFont val="Noto Sans CJK SC"/>
        <family val="2"/>
      </rPr>
      <t xml:space="preserve">개</t>
    </r>
    <r>
      <rPr>
        <i val="true"/>
        <sz val="9"/>
        <color rgb="FF404040"/>
        <rFont val="Arial"/>
        <family val="0"/>
        <charset val="1"/>
      </rPr>
      <t xml:space="preserve">, ★ NG </t>
    </r>
    <r>
      <rPr>
        <i val="true"/>
        <sz val="9"/>
        <color rgb="FF404040"/>
        <rFont val="Noto Sans CJK SC"/>
        <family val="2"/>
      </rPr>
      <t xml:space="preserve">없음</t>
    </r>
  </si>
  <si>
    <r>
      <rPr>
        <b val="true"/>
        <sz val="13"/>
        <color rgb="FFFFFFFF"/>
        <rFont val="Arial"/>
        <family val="0"/>
        <charset val="1"/>
      </rPr>
      <t xml:space="preserve">★ Critical </t>
    </r>
    <r>
      <rPr>
        <b val="true"/>
        <sz val="13"/>
        <color rgb="FFFFFFFF"/>
        <rFont val="Noto Sans CJK SC"/>
        <family val="2"/>
      </rPr>
      <t xml:space="preserve">항목 — </t>
    </r>
    <r>
      <rPr>
        <b val="true"/>
        <sz val="13"/>
        <color rgb="FFFFFFFF"/>
        <rFont val="Arial"/>
        <family val="0"/>
        <charset val="1"/>
      </rPr>
      <t xml:space="preserve">NG </t>
    </r>
    <r>
      <rPr>
        <b val="true"/>
        <sz val="13"/>
        <color rgb="FFFFFFFF"/>
        <rFont val="Noto Sans CJK SC"/>
        <family val="2"/>
      </rPr>
      <t xml:space="preserve">시 즉시 「위험」 확정</t>
    </r>
  </si>
  <si>
    <r>
      <rPr>
        <b val="true"/>
        <sz val="10"/>
        <color rgb="FFFFFFFF"/>
        <rFont val="Noto Sans CJK SC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전형적 장애 패턴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</si>
  <si>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세션테이블 고갈 → 신규 연결 전면 차단</t>
  </si>
  <si>
    <t xml:space="preserve">검증 안 된 부하 구간 진입</t>
  </si>
  <si>
    <t xml:space="preserve">경합 폭증으로 트랜잭션 정체</t>
  </si>
  <si>
    <r>
      <rPr>
        <sz val="10"/>
        <rFont val="Arial"/>
        <family val="0"/>
        <charset val="1"/>
      </rPr>
      <t xml:space="preserve">WAS </t>
    </r>
    <r>
      <rPr>
        <sz val="10"/>
        <rFont val="Noto Sans CJK SC"/>
        <family val="2"/>
      </rPr>
      <t xml:space="preserve">풀 </t>
    </r>
    <r>
      <rPr>
        <sz val="10"/>
        <rFont val="Arial"/>
        <family val="0"/>
        <charset val="1"/>
      </rPr>
      <t xml:space="preserve">Max </t>
    </r>
    <r>
      <rPr>
        <sz val="10"/>
        <rFont val="Noto Sans CJK SC"/>
        <family val="2"/>
      </rPr>
      <t xml:space="preserve">합 ≤ </t>
    </r>
    <r>
      <rPr>
        <sz val="10"/>
        <rFont val="Arial"/>
        <family val="0"/>
        <charset val="1"/>
      </rPr>
      <t xml:space="preserve">DB Max Session</t>
    </r>
  </si>
  <si>
    <r>
      <rPr>
        <sz val="10"/>
        <rFont val="Noto Sans CJK SC"/>
        <family val="2"/>
      </rPr>
      <t xml:space="preserve">커넥션 고갈로 </t>
    </r>
    <r>
      <rPr>
        <sz val="10"/>
        <rFont val="Arial"/>
        <family val="0"/>
        <charset val="1"/>
      </rPr>
      <t xml:space="preserve">WAS </t>
    </r>
    <r>
      <rPr>
        <sz val="10"/>
        <rFont val="Noto Sans CJK SC"/>
        <family val="2"/>
      </rPr>
      <t xml:space="preserve">전체 대기</t>
    </r>
  </si>
  <si>
    <r>
      <rPr>
        <sz val="10"/>
        <rFont val="Noto Sans CJK SC"/>
        <family val="2"/>
      </rPr>
      <t xml:space="preserve">증설 후에도 </t>
    </r>
    <r>
      <rPr>
        <sz val="10"/>
        <rFont val="Arial"/>
        <family val="0"/>
        <charset val="1"/>
      </rPr>
      <t xml:space="preserve">2-13 </t>
    </r>
    <r>
      <rPr>
        <sz val="10"/>
        <rFont val="Noto Sans CJK SC"/>
        <family val="2"/>
      </rPr>
      <t xml:space="preserve">충족</t>
    </r>
  </si>
  <si>
    <r>
      <rPr>
        <sz val="10"/>
        <rFont val="Noto Sans CJK SC"/>
        <family val="2"/>
      </rPr>
      <t xml:space="preserve">증설이 오히려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세션 초과 유발</t>
    </r>
  </si>
  <si>
    <t xml:space="preserve">중복 요청 방지 로직</t>
  </si>
  <si>
    <r>
      <rPr>
        <sz val="10"/>
        <rFont val="Noto Sans CJK SC"/>
        <family val="2"/>
      </rPr>
      <t xml:space="preserve">재요청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따닥 클릭에 의한 중복 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경합</t>
    </r>
  </si>
  <si>
    <r>
      <rPr>
        <sz val="10"/>
        <rFont val="Noto Sans CJK SC"/>
        <family val="2"/>
      </rPr>
      <t xml:space="preserve">외부연계 </t>
    </r>
    <r>
      <rPr>
        <sz val="10"/>
        <rFont val="Arial"/>
        <family val="0"/>
        <charset val="1"/>
      </rPr>
      <t xml:space="preserve">Retry </t>
    </r>
    <r>
      <rPr>
        <sz val="10"/>
        <rFont val="Noto Sans CJK SC"/>
        <family val="2"/>
      </rPr>
      <t xml:space="preserve">정책</t>
    </r>
  </si>
  <si>
    <t xml:space="preserve">외부 지연이 전체 스레드 고갈로 전파</t>
  </si>
  <si>
    <t xml:space="preserve">부하시험 유효성</t>
  </si>
  <si>
    <t xml:space="preserve">구버전 검증치 → 모든 증가율 판정 무효</t>
  </si>
  <si>
    <r>
      <rPr>
        <sz val="10"/>
        <rFont val="Arial"/>
        <family val="0"/>
        <charset val="1"/>
      </rPr>
      <t xml:space="preserve">Scale-Out </t>
    </r>
    <r>
      <rPr>
        <sz val="10"/>
        <rFont val="Noto Sans CJK SC"/>
        <family val="2"/>
      </rPr>
      <t xml:space="preserve">가능 여부</t>
    </r>
  </si>
  <si>
    <t xml:space="preserve">피크 시 대응 수단 부재</t>
  </si>
  <si>
    <t xml:space="preserve">디스크 여유율</t>
  </si>
  <si>
    <r>
      <rPr>
        <sz val="10"/>
        <rFont val="Noto Sans CJK SC"/>
        <family val="2"/>
      </rPr>
      <t xml:space="preserve">로그 폭증 → 디스크 </t>
    </r>
    <r>
      <rPr>
        <sz val="10"/>
        <rFont val="Arial"/>
        <family val="0"/>
        <charset val="1"/>
      </rPr>
      <t xml:space="preserve">Full → </t>
    </r>
    <r>
      <rPr>
        <sz val="10"/>
        <rFont val="Noto Sans CJK SC"/>
        <family val="2"/>
      </rPr>
      <t xml:space="preserve">서비스 정지</t>
    </r>
  </si>
  <si>
    <r>
      <rPr>
        <sz val="10"/>
        <rFont val="Noto Sans CJK SC"/>
        <family val="2"/>
      </rPr>
      <t xml:space="preserve">롤백</t>
    </r>
    <r>
      <rPr>
        <sz val="10"/>
        <rFont val="Arial"/>
        <family val="0"/>
        <charset val="1"/>
      </rPr>
      <t xml:space="preserve">·Kill-Switch </t>
    </r>
    <r>
      <rPr>
        <sz val="10"/>
        <rFont val="Noto Sans CJK SC"/>
        <family val="2"/>
      </rPr>
      <t xml:space="preserve">계획</t>
    </r>
  </si>
  <si>
    <r>
      <rPr>
        <sz val="10"/>
        <rFont val="Noto Sans CJK SC"/>
        <family val="2"/>
      </rPr>
      <t xml:space="preserve">장애 발생 시 빠른 차단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복구 불가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</si>
</sst>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</font>
    <font>
      <b val="true"/>
      <sz val="15"/>
      <color rgb="FFFFFFFF"/>
      <name val="Arial"/>
      <family val="0"/>
      <charset val="1"/>
    </font>
    <font>
      <i val="true"/>
      <sz val="9"/>
      <color rgb="FFC00000"/>
      <name val="Noto Sans CJK SC"/>
      <family val="2"/>
    </font>
    <font>
      <i val="true"/>
      <sz val="9"/>
      <color rgb="FFC0000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.5"/>
      <color rgb="FFFFFFFF"/>
      <name val="Noto Sans CJK SC"/>
      <family val="2"/>
    </font>
    <font>
      <sz val="10"/>
      <name val="Noto Sans CJK SC"/>
      <family val="2"/>
    </font>
    <font>
      <b val="true"/>
      <sz val="11"/>
      <color rgb="FFC00000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4"/>
      <name val="Noto Sans CJK SC"/>
      <family val="2"/>
    </font>
    <font>
      <i val="true"/>
      <sz val="9"/>
      <color rgb="FF404040"/>
      <name val="Noto Sans CJK SC"/>
      <family val="2"/>
    </font>
    <font>
      <i val="true"/>
      <sz val="9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305496"/>
        <bgColor rgb="FF2E5496"/>
      </patternFill>
    </fill>
    <fill>
      <patternFill patternType="solid">
        <fgColor rgb="FFDDEBF7"/>
        <bgColor rgb="FFF2F2F2"/>
      </patternFill>
    </fill>
    <fill>
      <patternFill patternType="solid">
        <fgColor rgb="FF8EAADB"/>
        <bgColor rgb="FF969696"/>
      </patternFill>
    </fill>
    <fill>
      <patternFill patternType="solid">
        <fgColor rgb="FFFFFDE7"/>
        <bgColor rgb="FFFFFFFF"/>
      </patternFill>
    </fill>
    <fill>
      <patternFill patternType="solid">
        <fgColor rgb="FFFFF2CC"/>
        <bgColor rgb="FFFFFDE7"/>
      </patternFill>
    </fill>
    <fill>
      <patternFill patternType="solid">
        <fgColor rgb="FF2E5496"/>
        <bgColor rgb="FF305496"/>
      </patternFill>
    </fill>
    <fill>
      <patternFill patternType="solid">
        <fgColor rgb="FFF2F2F2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FF0000"/>
        </patternFill>
      </fill>
    </dxf>
    <dxf>
      <font>
        <name val="Arial"/>
        <charset val="1"/>
        <family val="0"/>
        <b val="1"/>
        <color rgb="FF000000"/>
        <sz val="14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DE7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2E5496"/>
      <rgbColor rgb="FF969696"/>
      <rgbColor rgb="FF1F3864"/>
      <rgbColor rgb="FF00B050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9.5" hidden="false" customHeight="true" outlineLevel="0" collapsed="false">
      <c r="A5" s="4" t="s">
        <v>3</v>
      </c>
      <c r="B5" s="4"/>
      <c r="C5" s="5"/>
      <c r="D5" s="5"/>
      <c r="E5" s="5"/>
      <c r="F5" s="5"/>
      <c r="G5" s="5"/>
    </row>
    <row r="6" customFormat="false" ht="19.5" hidden="false" customHeight="true" outlineLevel="0" collapsed="false">
      <c r="A6" s="4" t="s">
        <v>4</v>
      </c>
      <c r="B6" s="4"/>
      <c r="C6" s="5"/>
      <c r="D6" s="5"/>
      <c r="E6" s="5"/>
      <c r="F6" s="5"/>
      <c r="G6" s="5"/>
    </row>
    <row r="7" customFormat="false" ht="19.5" hidden="false" customHeight="true" outlineLevel="0" collapsed="false">
      <c r="A7" s="4" t="s">
        <v>5</v>
      </c>
      <c r="B7" s="4"/>
      <c r="C7" s="5"/>
      <c r="D7" s="5"/>
      <c r="E7" s="5"/>
      <c r="F7" s="5"/>
      <c r="G7" s="5"/>
    </row>
    <row r="8" customFormat="false" ht="19.5" hidden="false" customHeight="true" outlineLevel="0" collapsed="false">
      <c r="A8" s="4" t="s">
        <v>6</v>
      </c>
      <c r="B8" s="4"/>
      <c r="C8" s="5"/>
      <c r="D8" s="5"/>
      <c r="E8" s="5"/>
      <c r="F8" s="5"/>
      <c r="G8" s="5"/>
    </row>
    <row r="9" customFormat="false" ht="19.5" hidden="false" customHeight="true" outlineLevel="0" collapsed="false">
      <c r="A9" s="4" t="s">
        <v>7</v>
      </c>
      <c r="B9" s="4"/>
      <c r="C9" s="5"/>
      <c r="D9" s="5"/>
      <c r="E9" s="5"/>
      <c r="F9" s="5"/>
      <c r="G9" s="5"/>
    </row>
    <row r="10" customFormat="false" ht="19.5" hidden="false" customHeight="true" outlineLevel="0" collapsed="false">
      <c r="A10" s="4" t="s">
        <v>8</v>
      </c>
      <c r="B10" s="4"/>
      <c r="C10" s="5"/>
      <c r="D10" s="5"/>
      <c r="E10" s="5"/>
      <c r="F10" s="5"/>
      <c r="G10" s="5"/>
    </row>
    <row r="11" customFormat="false" ht="19.5" hidden="false" customHeight="true" outlineLevel="0" collapsed="false">
      <c r="A11" s="4" t="s">
        <v>9</v>
      </c>
      <c r="B11" s="4"/>
      <c r="C11" s="5" t="s">
        <v>10</v>
      </c>
      <c r="D11" s="5"/>
      <c r="E11" s="5"/>
      <c r="F11" s="5"/>
      <c r="G11" s="5"/>
    </row>
    <row r="12" customFormat="false" ht="19.5" hidden="false" customHeight="true" outlineLevel="0" collapsed="false">
      <c r="A12" s="4" t="s">
        <v>11</v>
      </c>
      <c r="B12" s="4"/>
      <c r="C12" s="5"/>
      <c r="D12" s="5"/>
      <c r="E12" s="5"/>
      <c r="F12" s="5"/>
      <c r="G12" s="5"/>
    </row>
    <row r="14" customFormat="false" ht="21.75" hidden="false" customHeight="true" outlineLevel="0" collapsed="false">
      <c r="A14" s="6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7" t="s">
        <v>17</v>
      </c>
      <c r="G14" s="6" t="s">
        <v>18</v>
      </c>
    </row>
    <row r="15" customFormat="false" ht="19.5" hidden="false" customHeight="true" outlineLevel="0" collapsed="false">
      <c r="A15" s="8" t="s">
        <v>19</v>
      </c>
      <c r="B15" s="8"/>
      <c r="C15" s="8"/>
      <c r="D15" s="8"/>
      <c r="E15" s="8"/>
      <c r="F15" s="8"/>
      <c r="G15" s="8"/>
    </row>
    <row r="16" customFormat="false" ht="25.5" hidden="false" customHeight="true" outlineLevel="0" collapsed="false">
      <c r="A16" s="9" t="s">
        <v>20</v>
      </c>
      <c r="B16" s="10" t="s">
        <v>21</v>
      </c>
      <c r="C16" s="11" t="s">
        <v>22</v>
      </c>
      <c r="D16" s="12"/>
      <c r="E16" s="12"/>
      <c r="F16" s="13"/>
      <c r="G16" s="9"/>
    </row>
    <row r="17" customFormat="false" ht="25.5" hidden="false" customHeight="true" outlineLevel="0" collapsed="false">
      <c r="A17" s="9" t="s">
        <v>23</v>
      </c>
      <c r="B17" s="10" t="s">
        <v>24</v>
      </c>
      <c r="C17" s="11" t="s">
        <v>25</v>
      </c>
      <c r="D17" s="12"/>
      <c r="E17" s="12"/>
      <c r="F17" s="13"/>
      <c r="G17" s="9"/>
    </row>
    <row r="18" customFormat="false" ht="25.5" hidden="false" customHeight="true" outlineLevel="0" collapsed="false">
      <c r="A18" s="9" t="s">
        <v>26</v>
      </c>
      <c r="B18" s="14" t="s">
        <v>27</v>
      </c>
      <c r="C18" s="11" t="s">
        <v>25</v>
      </c>
      <c r="D18" s="12"/>
      <c r="E18" s="12"/>
      <c r="F18" s="13"/>
      <c r="G18" s="9"/>
    </row>
    <row r="19" customFormat="false" ht="25.5" hidden="false" customHeight="true" outlineLevel="0" collapsed="false">
      <c r="A19" s="9" t="s">
        <v>28</v>
      </c>
      <c r="B19" s="10" t="s">
        <v>29</v>
      </c>
      <c r="C19" s="11" t="s">
        <v>30</v>
      </c>
      <c r="D19" s="12"/>
      <c r="E19" s="12"/>
      <c r="F19" s="13"/>
      <c r="G19" s="9"/>
    </row>
    <row r="20" customFormat="false" ht="25.5" hidden="false" customHeight="true" outlineLevel="0" collapsed="false">
      <c r="A20" s="9" t="s">
        <v>31</v>
      </c>
      <c r="B20" s="10" t="s">
        <v>32</v>
      </c>
      <c r="C20" s="11" t="s">
        <v>33</v>
      </c>
      <c r="D20" s="12"/>
      <c r="E20" s="12"/>
      <c r="F20" s="13"/>
      <c r="G20" s="9"/>
    </row>
    <row r="21" customFormat="false" ht="25.5" hidden="false" customHeight="true" outlineLevel="0" collapsed="false">
      <c r="A21" s="15" t="s">
        <v>34</v>
      </c>
      <c r="B21" s="16" t="s">
        <v>35</v>
      </c>
      <c r="C21" s="11" t="s">
        <v>36</v>
      </c>
      <c r="D21" s="12"/>
      <c r="E21" s="12"/>
      <c r="F21" s="13" t="s">
        <v>17</v>
      </c>
      <c r="G21" s="9"/>
    </row>
    <row r="22" customFormat="false" ht="19.5" hidden="false" customHeight="true" outlineLevel="0" collapsed="false">
      <c r="A22" s="8" t="s">
        <v>37</v>
      </c>
      <c r="B22" s="8"/>
      <c r="C22" s="8"/>
      <c r="D22" s="8"/>
      <c r="E22" s="8"/>
      <c r="F22" s="8"/>
      <c r="G22" s="8"/>
    </row>
    <row r="23" customFormat="false" ht="25.5" hidden="false" customHeight="true" outlineLevel="0" collapsed="false">
      <c r="A23" s="9" t="s">
        <v>38</v>
      </c>
      <c r="B23" s="14" t="s">
        <v>39</v>
      </c>
      <c r="C23" s="17" t="s">
        <v>40</v>
      </c>
      <c r="D23" s="12"/>
      <c r="E23" s="9" t="s">
        <v>41</v>
      </c>
      <c r="F23" s="13"/>
      <c r="G23" s="9"/>
    </row>
    <row r="24" customFormat="false" ht="25.5" hidden="false" customHeight="true" outlineLevel="0" collapsed="false">
      <c r="A24" s="9" t="s">
        <v>42</v>
      </c>
      <c r="B24" s="14" t="s">
        <v>43</v>
      </c>
      <c r="C24" s="17" t="s">
        <v>40</v>
      </c>
      <c r="D24" s="12"/>
      <c r="E24" s="9" t="s">
        <v>41</v>
      </c>
      <c r="F24" s="13"/>
      <c r="G24" s="9"/>
    </row>
    <row r="25" customFormat="false" ht="25.5" hidden="false" customHeight="true" outlineLevel="0" collapsed="false">
      <c r="A25" s="9" t="s">
        <v>44</v>
      </c>
      <c r="B25" s="14" t="s">
        <v>45</v>
      </c>
      <c r="C25" s="17" t="s">
        <v>46</v>
      </c>
      <c r="D25" s="12"/>
      <c r="E25" s="12"/>
      <c r="F25" s="13"/>
      <c r="G25" s="9"/>
    </row>
    <row r="26" customFormat="false" ht="25.5" hidden="false" customHeight="true" outlineLevel="0" collapsed="false">
      <c r="A26" s="9" t="s">
        <v>47</v>
      </c>
      <c r="B26" s="14" t="s">
        <v>48</v>
      </c>
      <c r="C26" s="17" t="s">
        <v>40</v>
      </c>
      <c r="D26" s="12"/>
      <c r="E26" s="9" t="s">
        <v>41</v>
      </c>
      <c r="F26" s="13"/>
      <c r="G26" s="9"/>
    </row>
    <row r="27" customFormat="false" ht="25.5" hidden="false" customHeight="true" outlineLevel="0" collapsed="false">
      <c r="A27" s="15" t="s">
        <v>49</v>
      </c>
      <c r="B27" s="16" t="s">
        <v>50</v>
      </c>
      <c r="C27" s="11" t="s">
        <v>51</v>
      </c>
      <c r="D27" s="12"/>
      <c r="E27" s="12"/>
      <c r="F27" s="13" t="s">
        <v>17</v>
      </c>
      <c r="G27" s="9"/>
    </row>
    <row r="28" customFormat="false" ht="19.5" hidden="false" customHeight="true" outlineLevel="0" collapsed="false">
      <c r="A28" s="8" t="s">
        <v>52</v>
      </c>
      <c r="B28" s="8"/>
      <c r="C28" s="8"/>
      <c r="D28" s="8"/>
      <c r="E28" s="8"/>
      <c r="F28" s="8"/>
      <c r="G28" s="8"/>
    </row>
    <row r="29" customFormat="false" ht="25.5" hidden="false" customHeight="true" outlineLevel="0" collapsed="false">
      <c r="A29" s="9" t="s">
        <v>53</v>
      </c>
      <c r="B29" s="10" t="s">
        <v>54</v>
      </c>
      <c r="C29" s="17" t="s">
        <v>40</v>
      </c>
      <c r="D29" s="12"/>
      <c r="E29" s="9" t="s">
        <v>41</v>
      </c>
      <c r="F29" s="13"/>
      <c r="G29" s="9"/>
    </row>
    <row r="30" customFormat="false" ht="25.5" hidden="false" customHeight="true" outlineLevel="0" collapsed="false">
      <c r="A30" s="9" t="s">
        <v>55</v>
      </c>
      <c r="B30" s="10" t="s">
        <v>56</v>
      </c>
      <c r="C30" s="17" t="s">
        <v>57</v>
      </c>
      <c r="D30" s="12"/>
      <c r="E30" s="12"/>
      <c r="F30" s="13"/>
      <c r="G30" s="9"/>
    </row>
    <row r="31" customFormat="false" ht="25.5" hidden="false" customHeight="true" outlineLevel="0" collapsed="false">
      <c r="A31" s="9" t="s">
        <v>58</v>
      </c>
      <c r="B31" s="10" t="s">
        <v>59</v>
      </c>
      <c r="C31" s="17" t="s">
        <v>60</v>
      </c>
      <c r="D31" s="12"/>
      <c r="E31" s="12"/>
      <c r="F31" s="13"/>
      <c r="G31" s="9"/>
    </row>
    <row r="32" customFormat="false" ht="25.5" hidden="false" customHeight="true" outlineLevel="0" collapsed="false">
      <c r="A32" s="9" t="s">
        <v>61</v>
      </c>
      <c r="B32" s="10" t="s">
        <v>62</v>
      </c>
      <c r="C32" s="11" t="s">
        <v>63</v>
      </c>
      <c r="D32" s="12"/>
      <c r="E32" s="12"/>
      <c r="F32" s="13"/>
      <c r="G32" s="9"/>
    </row>
    <row r="33" customFormat="false" ht="25.5" hidden="false" customHeight="true" outlineLevel="0" collapsed="false">
      <c r="A33" s="9" t="s">
        <v>64</v>
      </c>
      <c r="B33" s="10" t="s">
        <v>65</v>
      </c>
      <c r="C33" s="17" t="s">
        <v>60</v>
      </c>
      <c r="D33" s="12"/>
      <c r="E33" s="12"/>
      <c r="F33" s="13"/>
      <c r="G33" s="9"/>
    </row>
    <row r="34" customFormat="false" ht="25.5" hidden="false" customHeight="true" outlineLevel="0" collapsed="false">
      <c r="A34" s="9" t="s">
        <v>66</v>
      </c>
      <c r="B34" s="10" t="s">
        <v>67</v>
      </c>
      <c r="C34" s="17" t="s">
        <v>40</v>
      </c>
      <c r="D34" s="12"/>
      <c r="E34" s="9" t="s">
        <v>41</v>
      </c>
      <c r="F34" s="13"/>
      <c r="G34" s="9"/>
    </row>
    <row r="35" customFormat="false" ht="25.5" hidden="false" customHeight="true" outlineLevel="0" collapsed="false">
      <c r="A35" s="9" t="s">
        <v>68</v>
      </c>
      <c r="B35" s="10" t="s">
        <v>69</v>
      </c>
      <c r="C35" s="17" t="s">
        <v>70</v>
      </c>
      <c r="D35" s="12"/>
      <c r="E35" s="12"/>
      <c r="F35" s="13"/>
      <c r="G35" s="9"/>
    </row>
    <row r="36" customFormat="false" ht="19.5" hidden="false" customHeight="true" outlineLevel="0" collapsed="false">
      <c r="A36" s="8" t="s">
        <v>71</v>
      </c>
      <c r="B36" s="8"/>
      <c r="C36" s="8"/>
      <c r="D36" s="8"/>
      <c r="E36" s="8"/>
      <c r="F36" s="8"/>
      <c r="G36" s="8"/>
    </row>
    <row r="37" customFormat="false" ht="25.5" hidden="false" customHeight="true" outlineLevel="0" collapsed="false">
      <c r="A37" s="9" t="s">
        <v>72</v>
      </c>
      <c r="B37" s="10" t="s">
        <v>73</v>
      </c>
      <c r="C37" s="17" t="s">
        <v>57</v>
      </c>
      <c r="D37" s="12"/>
      <c r="E37" s="12"/>
      <c r="F37" s="13"/>
      <c r="G37" s="9"/>
    </row>
    <row r="38" customFormat="false" ht="25.5" hidden="false" customHeight="true" outlineLevel="0" collapsed="false">
      <c r="A38" s="9" t="s">
        <v>74</v>
      </c>
      <c r="B38" s="10" t="s">
        <v>75</v>
      </c>
      <c r="C38" s="17" t="s">
        <v>60</v>
      </c>
      <c r="D38" s="12"/>
      <c r="E38" s="12"/>
      <c r="F38" s="13"/>
      <c r="G38" s="9"/>
    </row>
    <row r="39" customFormat="false" ht="25.5" hidden="false" customHeight="true" outlineLevel="0" collapsed="false">
      <c r="A39" s="9" t="s">
        <v>76</v>
      </c>
      <c r="B39" s="10" t="s">
        <v>77</v>
      </c>
      <c r="C39" s="17" t="s">
        <v>40</v>
      </c>
      <c r="D39" s="12"/>
      <c r="E39" s="9" t="s">
        <v>41</v>
      </c>
      <c r="F39" s="13"/>
      <c r="G39" s="9"/>
    </row>
    <row r="40" customFormat="false" ht="25.5" hidden="false" customHeight="true" outlineLevel="0" collapsed="false">
      <c r="A40" s="9" t="s">
        <v>78</v>
      </c>
      <c r="B40" s="10" t="s">
        <v>79</v>
      </c>
      <c r="C40" s="17" t="s">
        <v>60</v>
      </c>
      <c r="D40" s="12"/>
      <c r="E40" s="12"/>
      <c r="F40" s="13"/>
      <c r="G40" s="9"/>
    </row>
    <row r="41" customFormat="false" ht="25.5" hidden="false" customHeight="true" outlineLevel="0" collapsed="false">
      <c r="A41" s="15" t="s">
        <v>80</v>
      </c>
      <c r="B41" s="18" t="s">
        <v>81</v>
      </c>
      <c r="C41" s="11" t="s">
        <v>82</v>
      </c>
      <c r="D41" s="12"/>
      <c r="E41" s="12"/>
      <c r="F41" s="13" t="s">
        <v>17</v>
      </c>
      <c r="G41" s="9"/>
    </row>
    <row r="42" customFormat="false" ht="19.5" hidden="false" customHeight="true" outlineLevel="0" collapsed="false">
      <c r="A42" s="8" t="s">
        <v>83</v>
      </c>
      <c r="B42" s="8"/>
      <c r="C42" s="8"/>
      <c r="D42" s="8"/>
      <c r="E42" s="8"/>
      <c r="F42" s="8"/>
      <c r="G42" s="8"/>
    </row>
    <row r="43" customFormat="false" ht="25.5" hidden="false" customHeight="true" outlineLevel="0" collapsed="false">
      <c r="A43" s="15" t="s">
        <v>84</v>
      </c>
      <c r="B43" s="18" t="s">
        <v>85</v>
      </c>
      <c r="C43" s="11" t="s">
        <v>86</v>
      </c>
      <c r="D43" s="12"/>
      <c r="E43" s="12"/>
      <c r="F43" s="13" t="s">
        <v>17</v>
      </c>
      <c r="G43" s="9"/>
    </row>
    <row r="44" customFormat="false" ht="25.5" hidden="false" customHeight="true" outlineLevel="0" collapsed="false">
      <c r="A44" s="15" t="s">
        <v>87</v>
      </c>
      <c r="B44" s="16" t="s">
        <v>88</v>
      </c>
      <c r="C44" s="11" t="s">
        <v>86</v>
      </c>
      <c r="D44" s="12"/>
      <c r="E44" s="12"/>
      <c r="F44" s="13" t="s">
        <v>17</v>
      </c>
      <c r="G44" s="9"/>
    </row>
    <row r="45" customFormat="false" ht="19.5" hidden="false" customHeight="true" outlineLevel="0" collapsed="false">
      <c r="A45" s="8" t="s">
        <v>89</v>
      </c>
      <c r="B45" s="8"/>
      <c r="C45" s="8"/>
      <c r="D45" s="8"/>
      <c r="E45" s="8"/>
      <c r="F45" s="8"/>
      <c r="G45" s="8"/>
    </row>
    <row r="46" customFormat="false" ht="25.5" hidden="false" customHeight="true" outlineLevel="0" collapsed="false">
      <c r="A46" s="9" t="s">
        <v>90</v>
      </c>
      <c r="B46" s="14" t="s">
        <v>91</v>
      </c>
      <c r="C46" s="11" t="s">
        <v>92</v>
      </c>
      <c r="D46" s="12"/>
      <c r="E46" s="12"/>
      <c r="F46" s="13"/>
      <c r="G46" s="9"/>
    </row>
    <row r="47" customFormat="false" ht="25.5" hidden="false" customHeight="true" outlineLevel="0" collapsed="false">
      <c r="A47" s="9" t="s">
        <v>93</v>
      </c>
      <c r="B47" s="14" t="s">
        <v>94</v>
      </c>
      <c r="C47" s="17" t="s">
        <v>70</v>
      </c>
      <c r="D47" s="12"/>
      <c r="E47" s="12"/>
      <c r="F47" s="13"/>
      <c r="G47" s="9"/>
    </row>
    <row r="48" customFormat="false" ht="25.5" hidden="false" customHeight="true" outlineLevel="0" collapsed="false">
      <c r="A48" s="9" t="s">
        <v>95</v>
      </c>
      <c r="B48" s="14" t="s">
        <v>96</v>
      </c>
      <c r="C48" s="17" t="s">
        <v>40</v>
      </c>
      <c r="D48" s="12"/>
      <c r="E48" s="9" t="s">
        <v>41</v>
      </c>
      <c r="F48" s="13"/>
      <c r="G48" s="9"/>
    </row>
    <row r="49" customFormat="false" ht="25.5" hidden="false" customHeight="true" outlineLevel="0" collapsed="false">
      <c r="A49" s="15" t="s">
        <v>97</v>
      </c>
      <c r="B49" s="16" t="s">
        <v>98</v>
      </c>
      <c r="C49" s="11" t="s">
        <v>99</v>
      </c>
      <c r="D49" s="12"/>
      <c r="E49" s="12"/>
      <c r="F49" s="13" t="s">
        <v>17</v>
      </c>
      <c r="G49" s="9"/>
    </row>
    <row r="50" customFormat="false" ht="19.5" hidden="false" customHeight="true" outlineLevel="0" collapsed="false">
      <c r="A50" s="8" t="s">
        <v>100</v>
      </c>
      <c r="B50" s="8"/>
      <c r="C50" s="8"/>
      <c r="D50" s="8"/>
      <c r="E50" s="8"/>
      <c r="F50" s="8"/>
      <c r="G50" s="8"/>
    </row>
    <row r="51" customFormat="false" ht="25.5" hidden="false" customHeight="true" outlineLevel="0" collapsed="false">
      <c r="A51" s="9" t="s">
        <v>101</v>
      </c>
      <c r="B51" s="10" t="s">
        <v>102</v>
      </c>
      <c r="C51" s="17" t="s">
        <v>70</v>
      </c>
      <c r="D51" s="12"/>
      <c r="E51" s="12"/>
      <c r="F51" s="13"/>
      <c r="G51" s="9"/>
    </row>
    <row r="52" customFormat="false" ht="25.5" hidden="false" customHeight="true" outlineLevel="0" collapsed="false">
      <c r="A52" s="9" t="s">
        <v>103</v>
      </c>
      <c r="B52" s="10" t="s">
        <v>104</v>
      </c>
      <c r="C52" s="17" t="s">
        <v>70</v>
      </c>
      <c r="D52" s="12"/>
      <c r="E52" s="12"/>
      <c r="F52" s="13"/>
      <c r="G52" s="9"/>
    </row>
    <row r="53" customFormat="false" ht="25.5" hidden="false" customHeight="true" outlineLevel="0" collapsed="false">
      <c r="A53" s="9" t="s">
        <v>105</v>
      </c>
      <c r="B53" s="10" t="s">
        <v>106</v>
      </c>
      <c r="C53" s="11" t="s">
        <v>107</v>
      </c>
      <c r="D53" s="12"/>
      <c r="E53" s="12"/>
      <c r="F53" s="13"/>
      <c r="G53" s="9"/>
    </row>
    <row r="54" customFormat="false" ht="25.5" hidden="false" customHeight="true" outlineLevel="0" collapsed="false">
      <c r="A54" s="9" t="s">
        <v>108</v>
      </c>
      <c r="B54" s="14" t="s">
        <v>109</v>
      </c>
      <c r="C54" s="11" t="s">
        <v>107</v>
      </c>
      <c r="D54" s="12"/>
      <c r="E54" s="12"/>
      <c r="F54" s="13"/>
      <c r="G54" s="9"/>
    </row>
    <row r="55" customFormat="false" ht="25.5" hidden="false" customHeight="true" outlineLevel="0" collapsed="false">
      <c r="A55" s="9" t="s">
        <v>110</v>
      </c>
      <c r="B55" s="14" t="s">
        <v>111</v>
      </c>
      <c r="C55" s="11" t="s">
        <v>112</v>
      </c>
      <c r="D55" s="12"/>
      <c r="E55" s="12"/>
      <c r="F55" s="13"/>
      <c r="G55" s="9"/>
    </row>
    <row r="56" customFormat="false" ht="19.5" hidden="false" customHeight="true" outlineLevel="0" collapsed="false">
      <c r="A56" s="8" t="s">
        <v>113</v>
      </c>
      <c r="B56" s="8"/>
      <c r="C56" s="8"/>
      <c r="D56" s="8"/>
      <c r="E56" s="8"/>
      <c r="F56" s="8"/>
      <c r="G56" s="8"/>
    </row>
    <row r="57" customFormat="false" ht="25.5" hidden="false" customHeight="true" outlineLevel="0" collapsed="false">
      <c r="A57" s="9" t="s">
        <v>114</v>
      </c>
      <c r="B57" s="14" t="s">
        <v>115</v>
      </c>
      <c r="C57" s="11" t="s">
        <v>116</v>
      </c>
      <c r="D57" s="12"/>
      <c r="E57" s="12"/>
      <c r="F57" s="13"/>
      <c r="G57" s="9"/>
    </row>
    <row r="58" customFormat="false" ht="25.5" hidden="false" customHeight="true" outlineLevel="0" collapsed="false">
      <c r="A58" s="9" t="s">
        <v>117</v>
      </c>
      <c r="B58" s="14" t="s">
        <v>118</v>
      </c>
      <c r="C58" s="17" t="s">
        <v>40</v>
      </c>
      <c r="D58" s="12"/>
      <c r="E58" s="9" t="s">
        <v>41</v>
      </c>
      <c r="F58" s="13"/>
      <c r="G58" s="9"/>
    </row>
    <row r="59" customFormat="false" ht="25.5" hidden="false" customHeight="true" outlineLevel="0" collapsed="false">
      <c r="A59" s="9" t="s">
        <v>119</v>
      </c>
      <c r="B59" s="10" t="s">
        <v>120</v>
      </c>
      <c r="C59" s="17" t="s">
        <v>121</v>
      </c>
      <c r="D59" s="12"/>
      <c r="E59" s="12"/>
      <c r="F59" s="13"/>
      <c r="G59" s="9"/>
    </row>
    <row r="60" customFormat="false" ht="25.5" hidden="false" customHeight="true" outlineLevel="0" collapsed="false">
      <c r="A60" s="15" t="s">
        <v>122</v>
      </c>
      <c r="B60" s="18" t="s">
        <v>123</v>
      </c>
      <c r="C60" s="11" t="s">
        <v>99</v>
      </c>
      <c r="D60" s="12"/>
      <c r="E60" s="12"/>
      <c r="F60" s="13" t="s">
        <v>17</v>
      </c>
      <c r="G60" s="9"/>
    </row>
    <row r="61" customFormat="false" ht="25.5" hidden="false" customHeight="true" outlineLevel="0" collapsed="false">
      <c r="A61" s="9" t="s">
        <v>124</v>
      </c>
      <c r="B61" s="10" t="s">
        <v>125</v>
      </c>
      <c r="C61" s="11" t="s">
        <v>126</v>
      </c>
      <c r="D61" s="12"/>
      <c r="E61" s="12"/>
      <c r="F61" s="13"/>
      <c r="G61" s="9"/>
    </row>
    <row r="62" customFormat="false" ht="25.5" hidden="false" customHeight="true" outlineLevel="0" collapsed="false">
      <c r="A62" s="9" t="s">
        <v>127</v>
      </c>
      <c r="B62" s="14" t="s">
        <v>128</v>
      </c>
      <c r="C62" s="11" t="s">
        <v>116</v>
      </c>
      <c r="D62" s="12"/>
      <c r="E62" s="12"/>
      <c r="F62" s="13"/>
      <c r="G62" s="9"/>
    </row>
    <row r="63" customFormat="false" ht="19.5" hidden="false" customHeight="true" outlineLevel="0" collapsed="false">
      <c r="A63" s="8" t="s">
        <v>129</v>
      </c>
      <c r="B63" s="8"/>
      <c r="C63" s="8"/>
      <c r="D63" s="8"/>
      <c r="E63" s="8"/>
      <c r="F63" s="8"/>
      <c r="G63" s="8"/>
    </row>
    <row r="64" customFormat="false" ht="25.5" hidden="false" customHeight="true" outlineLevel="0" collapsed="false">
      <c r="A64" s="9" t="s">
        <v>130</v>
      </c>
      <c r="B64" s="14" t="s">
        <v>131</v>
      </c>
      <c r="C64" s="17" t="s">
        <v>40</v>
      </c>
      <c r="D64" s="12"/>
      <c r="E64" s="9" t="s">
        <v>41</v>
      </c>
      <c r="F64" s="13"/>
      <c r="G64" s="9"/>
    </row>
    <row r="65" customFormat="false" ht="25.5" hidden="false" customHeight="true" outlineLevel="0" collapsed="false">
      <c r="A65" s="9" t="s">
        <v>132</v>
      </c>
      <c r="B65" s="10" t="s">
        <v>133</v>
      </c>
      <c r="C65" s="17" t="s">
        <v>46</v>
      </c>
      <c r="D65" s="12"/>
      <c r="E65" s="12"/>
      <c r="F65" s="13"/>
      <c r="G65" s="9"/>
    </row>
    <row r="66" customFormat="false" ht="25.5" hidden="false" customHeight="true" outlineLevel="0" collapsed="false">
      <c r="A66" s="9" t="s">
        <v>134</v>
      </c>
      <c r="B66" s="14" t="s">
        <v>135</v>
      </c>
      <c r="C66" s="17" t="s">
        <v>40</v>
      </c>
      <c r="D66" s="12"/>
      <c r="E66" s="9" t="s">
        <v>41</v>
      </c>
      <c r="F66" s="13"/>
      <c r="G66" s="9"/>
    </row>
    <row r="67" customFormat="false" ht="25.5" hidden="false" customHeight="true" outlineLevel="0" collapsed="false">
      <c r="A67" s="9" t="s">
        <v>136</v>
      </c>
      <c r="B67" s="14" t="s">
        <v>137</v>
      </c>
      <c r="C67" s="17" t="s">
        <v>46</v>
      </c>
      <c r="D67" s="12"/>
      <c r="E67" s="12"/>
      <c r="F67" s="13"/>
      <c r="G67" s="9"/>
    </row>
    <row r="68" customFormat="false" ht="25.5" hidden="false" customHeight="true" outlineLevel="0" collapsed="false">
      <c r="A68" s="15" t="s">
        <v>138</v>
      </c>
      <c r="B68" s="16" t="s">
        <v>139</v>
      </c>
      <c r="C68" s="11" t="s">
        <v>140</v>
      </c>
      <c r="D68" s="12"/>
      <c r="E68" s="12"/>
      <c r="F68" s="13" t="s">
        <v>17</v>
      </c>
      <c r="G68" s="9"/>
    </row>
    <row r="69" customFormat="false" ht="25.5" hidden="false" customHeight="true" outlineLevel="0" collapsed="false">
      <c r="A69" s="15" t="s">
        <v>141</v>
      </c>
      <c r="B69" s="18" t="s">
        <v>142</v>
      </c>
      <c r="C69" s="11" t="s">
        <v>143</v>
      </c>
      <c r="D69" s="12"/>
      <c r="E69" s="12"/>
      <c r="F69" s="13" t="s">
        <v>17</v>
      </c>
      <c r="G69" s="9"/>
    </row>
    <row r="70" customFormat="false" ht="25.5" hidden="false" customHeight="true" outlineLevel="0" collapsed="false">
      <c r="A70" s="9" t="s">
        <v>144</v>
      </c>
      <c r="B70" s="14" t="s">
        <v>145</v>
      </c>
      <c r="C70" s="11" t="s">
        <v>126</v>
      </c>
      <c r="D70" s="12"/>
      <c r="E70" s="12"/>
      <c r="F70" s="13"/>
      <c r="G70" s="9"/>
    </row>
    <row r="71" customFormat="false" ht="19.5" hidden="false" customHeight="true" outlineLevel="0" collapsed="false">
      <c r="A71" s="8" t="s">
        <v>146</v>
      </c>
      <c r="B71" s="8"/>
      <c r="C71" s="8"/>
      <c r="D71" s="8"/>
      <c r="E71" s="8"/>
      <c r="F71" s="8"/>
      <c r="G71" s="8"/>
    </row>
    <row r="72" customFormat="false" ht="25.5" hidden="false" customHeight="true" outlineLevel="0" collapsed="false">
      <c r="A72" s="9" t="s">
        <v>147</v>
      </c>
      <c r="B72" s="14" t="s">
        <v>148</v>
      </c>
      <c r="C72" s="11" t="s">
        <v>30</v>
      </c>
      <c r="D72" s="12"/>
      <c r="E72" s="12"/>
      <c r="F72" s="13"/>
      <c r="G72" s="9"/>
    </row>
    <row r="73" customFormat="false" ht="25.5" hidden="false" customHeight="true" outlineLevel="0" collapsed="false">
      <c r="A73" s="9" t="s">
        <v>149</v>
      </c>
      <c r="B73" s="14" t="s">
        <v>150</v>
      </c>
      <c r="C73" s="11" t="s">
        <v>151</v>
      </c>
      <c r="D73" s="12"/>
      <c r="E73" s="12"/>
      <c r="F73" s="13"/>
      <c r="G73" s="9"/>
    </row>
    <row r="74" customFormat="false" ht="25.5" hidden="false" customHeight="true" outlineLevel="0" collapsed="false">
      <c r="A74" s="9" t="s">
        <v>152</v>
      </c>
      <c r="B74" s="10" t="s">
        <v>153</v>
      </c>
      <c r="C74" s="11" t="s">
        <v>33</v>
      </c>
      <c r="D74" s="12"/>
      <c r="E74" s="12"/>
      <c r="F74" s="13"/>
      <c r="G74" s="9"/>
    </row>
    <row r="75" customFormat="false" ht="19.5" hidden="false" customHeight="true" outlineLevel="0" collapsed="false">
      <c r="A75" s="8" t="s">
        <v>154</v>
      </c>
      <c r="B75" s="8"/>
      <c r="C75" s="8"/>
      <c r="D75" s="8"/>
      <c r="E75" s="8"/>
      <c r="F75" s="8"/>
      <c r="G75" s="8"/>
    </row>
    <row r="76" customFormat="false" ht="25.5" hidden="false" customHeight="true" outlineLevel="0" collapsed="false">
      <c r="A76" s="9" t="s">
        <v>155</v>
      </c>
      <c r="B76" s="10" t="s">
        <v>156</v>
      </c>
      <c r="C76" s="11" t="s">
        <v>157</v>
      </c>
      <c r="D76" s="12"/>
      <c r="E76" s="12"/>
      <c r="F76" s="13"/>
      <c r="G76" s="9"/>
    </row>
    <row r="77" customFormat="false" ht="25.5" hidden="false" customHeight="true" outlineLevel="0" collapsed="false">
      <c r="A77" s="9" t="s">
        <v>158</v>
      </c>
      <c r="B77" s="10" t="s">
        <v>159</v>
      </c>
      <c r="C77" s="11" t="s">
        <v>33</v>
      </c>
      <c r="D77" s="12"/>
      <c r="E77" s="12"/>
      <c r="F77" s="13"/>
      <c r="G77" s="9"/>
    </row>
    <row r="78" customFormat="false" ht="25.5" hidden="false" customHeight="true" outlineLevel="0" collapsed="false">
      <c r="A78" s="15" t="s">
        <v>160</v>
      </c>
      <c r="B78" s="16" t="s">
        <v>161</v>
      </c>
      <c r="C78" s="17" t="s">
        <v>162</v>
      </c>
      <c r="D78" s="12"/>
      <c r="E78" s="12"/>
      <c r="F78" s="13" t="s">
        <v>17</v>
      </c>
      <c r="G78" s="9"/>
    </row>
    <row r="79" customFormat="false" ht="25.5" hidden="false" customHeight="true" outlineLevel="0" collapsed="false">
      <c r="A79" s="9" t="s">
        <v>163</v>
      </c>
      <c r="B79" s="14" t="s">
        <v>164</v>
      </c>
      <c r="C79" s="11" t="s">
        <v>165</v>
      </c>
      <c r="D79" s="12"/>
      <c r="E79" s="12"/>
      <c r="F79" s="13"/>
      <c r="G79" s="9"/>
    </row>
    <row r="80" customFormat="false" ht="25.5" hidden="false" customHeight="true" outlineLevel="0" collapsed="false">
      <c r="A80" s="9" t="s">
        <v>166</v>
      </c>
      <c r="B80" s="14" t="s">
        <v>167</v>
      </c>
      <c r="C80" s="11" t="s">
        <v>157</v>
      </c>
      <c r="D80" s="12"/>
      <c r="E80" s="12"/>
      <c r="F80" s="13"/>
      <c r="G80" s="9"/>
    </row>
    <row r="81" customFormat="false" ht="19.5" hidden="false" customHeight="true" outlineLevel="0" collapsed="false">
      <c r="A81" s="8" t="s">
        <v>168</v>
      </c>
      <c r="B81" s="8"/>
      <c r="C81" s="8"/>
      <c r="D81" s="8"/>
      <c r="E81" s="8"/>
      <c r="F81" s="8"/>
      <c r="G81" s="8"/>
    </row>
    <row r="82" customFormat="false" ht="25.5" hidden="false" customHeight="true" outlineLevel="0" collapsed="false">
      <c r="A82" s="9" t="s">
        <v>169</v>
      </c>
      <c r="B82" s="14" t="s">
        <v>170</v>
      </c>
      <c r="C82" s="11" t="s">
        <v>171</v>
      </c>
      <c r="D82" s="12"/>
      <c r="E82" s="12"/>
      <c r="F82" s="13"/>
      <c r="G82" s="9"/>
    </row>
    <row r="83" customFormat="false" ht="25.5" hidden="false" customHeight="true" outlineLevel="0" collapsed="false">
      <c r="A83" s="9" t="s">
        <v>172</v>
      </c>
      <c r="B83" s="14" t="s">
        <v>173</v>
      </c>
      <c r="C83" s="11" t="s">
        <v>174</v>
      </c>
      <c r="D83" s="12"/>
      <c r="E83" s="12"/>
      <c r="F83" s="13"/>
      <c r="G83" s="9"/>
    </row>
    <row r="84" customFormat="false" ht="25.5" hidden="false" customHeight="true" outlineLevel="0" collapsed="false">
      <c r="A84" s="9" t="s">
        <v>175</v>
      </c>
      <c r="B84" s="10" t="s">
        <v>176</v>
      </c>
      <c r="C84" s="11" t="s">
        <v>177</v>
      </c>
      <c r="D84" s="12"/>
      <c r="E84" s="12"/>
      <c r="F84" s="13"/>
      <c r="G84" s="9"/>
    </row>
    <row r="85" customFormat="false" ht="25.5" hidden="false" customHeight="true" outlineLevel="0" collapsed="false">
      <c r="A85" s="15" t="s">
        <v>178</v>
      </c>
      <c r="B85" s="16" t="s">
        <v>179</v>
      </c>
      <c r="C85" s="11" t="s">
        <v>180</v>
      </c>
      <c r="D85" s="12"/>
      <c r="E85" s="12"/>
      <c r="F85" s="13" t="s">
        <v>17</v>
      </c>
      <c r="G85" s="9"/>
    </row>
    <row r="86" customFormat="false" ht="25.5" hidden="false" customHeight="true" outlineLevel="0" collapsed="false">
      <c r="A86" s="9" t="s">
        <v>181</v>
      </c>
      <c r="B86" s="14" t="s">
        <v>182</v>
      </c>
      <c r="C86" s="11" t="s">
        <v>180</v>
      </c>
      <c r="D86" s="12"/>
      <c r="E86" s="12"/>
      <c r="F86" s="13"/>
      <c r="G86" s="9"/>
    </row>
    <row r="88" customFormat="false" ht="24" hidden="false" customHeight="true" outlineLevel="0" collapsed="false">
      <c r="A88" s="19" t="s">
        <v>183</v>
      </c>
      <c r="B88" s="19"/>
      <c r="C88" s="19"/>
      <c r="D88" s="19"/>
      <c r="E88" s="19"/>
      <c r="F88" s="19"/>
      <c r="G88" s="19"/>
    </row>
    <row r="89" customFormat="false" ht="19.5" hidden="false" customHeight="true" outlineLevel="0" collapsed="false">
      <c r="A89" s="20" t="s">
        <v>184</v>
      </c>
      <c r="B89" s="20"/>
      <c r="C89" s="20"/>
      <c r="D89" s="20"/>
      <c r="E89" s="21" t="n">
        <f aca="false">COUNTIFS(F16:F86,"★",E16:E86,"NG")</f>
        <v>0</v>
      </c>
      <c r="F89" s="21"/>
      <c r="G89" s="21"/>
    </row>
    <row r="90" customFormat="false" ht="19.5" hidden="false" customHeight="true" outlineLevel="0" collapsed="false">
      <c r="A90" s="4" t="s">
        <v>185</v>
      </c>
      <c r="B90" s="4"/>
      <c r="C90" s="4"/>
      <c r="D90" s="4"/>
      <c r="E90" s="21" t="n">
        <f aca="false">COUNTIF(E16:E86,"NG")-COUNTIFS(F16:F86,"★",E16:E86,"NG")</f>
        <v>0</v>
      </c>
      <c r="F90" s="21"/>
      <c r="G90" s="21"/>
    </row>
    <row r="91" customFormat="false" ht="19.5" hidden="false" customHeight="true" outlineLevel="0" collapsed="false">
      <c r="A91" s="20" t="s">
        <v>186</v>
      </c>
      <c r="B91" s="20"/>
      <c r="C91" s="20"/>
      <c r="D91" s="20"/>
      <c r="E91" s="21" t="n">
        <f aca="false">COUNTIF(E16:E86,"OK")</f>
        <v>0</v>
      </c>
      <c r="F91" s="21"/>
      <c r="G91" s="21"/>
    </row>
    <row r="92" customFormat="false" ht="19.5" hidden="false" customHeight="true" outlineLevel="0" collapsed="false">
      <c r="A92" s="4" t="s">
        <v>187</v>
      </c>
      <c r="B92" s="4"/>
      <c r="C92" s="4"/>
      <c r="D92" s="4"/>
      <c r="E92" s="21" t="n">
        <f aca="false">COUNTIFS(E16:E86,"")</f>
        <v>61</v>
      </c>
      <c r="F92" s="21"/>
      <c r="G92" s="21"/>
    </row>
    <row r="93" customFormat="false" ht="30" hidden="false" customHeight="true" outlineLevel="0" collapsed="false">
      <c r="A93" s="22" t="s">
        <v>188</v>
      </c>
      <c r="B93" s="22"/>
      <c r="C93" s="22"/>
      <c r="D93" s="22"/>
      <c r="E93" s="23" t="str">
        <f aca="false">IF(E89&gt;=1,"위험",IF(E90&gt;=6,"위험",IF(E90&gt;=2,"주의","정상")))</f>
        <v>정상</v>
      </c>
      <c r="F93" s="23"/>
      <c r="G93" s="23"/>
    </row>
    <row r="95" customFormat="false" ht="18" hidden="false" customHeight="true" outlineLevel="0" collapsed="false">
      <c r="A95" s="24" t="s">
        <v>189</v>
      </c>
      <c r="B95" s="24"/>
      <c r="C95" s="24"/>
      <c r="D95" s="24"/>
      <c r="E95" s="24"/>
      <c r="F95" s="24"/>
      <c r="G95" s="24"/>
    </row>
  </sheetData>
  <mergeCells count="43">
    <mergeCell ref="A1:G1"/>
    <mergeCell ref="A2:G2"/>
    <mergeCell ref="A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5:G15"/>
    <mergeCell ref="A22:G22"/>
    <mergeCell ref="A28:G28"/>
    <mergeCell ref="A36:G36"/>
    <mergeCell ref="A42:G42"/>
    <mergeCell ref="A45:G45"/>
    <mergeCell ref="A50:G50"/>
    <mergeCell ref="A56:G56"/>
    <mergeCell ref="A63:G63"/>
    <mergeCell ref="A71:G71"/>
    <mergeCell ref="A75:G75"/>
    <mergeCell ref="A81:G81"/>
    <mergeCell ref="A88:G88"/>
    <mergeCell ref="A89:D89"/>
    <mergeCell ref="E89:G89"/>
    <mergeCell ref="A90:D90"/>
    <mergeCell ref="E90:G90"/>
    <mergeCell ref="A91:D91"/>
    <mergeCell ref="E91:G91"/>
    <mergeCell ref="A92:D92"/>
    <mergeCell ref="E92:G92"/>
    <mergeCell ref="A93:D93"/>
    <mergeCell ref="E93:G93"/>
    <mergeCell ref="A95:G95"/>
  </mergeCells>
  <conditionalFormatting sqref="E16:E86">
    <cfRule type="cellIs" priority="2" operator="equal" aboveAverage="0" equalAverage="0" bottom="0" percent="0" rank="0" text="" dxfId="0">
      <formula>"NG"</formula>
    </cfRule>
    <cfRule type="cellIs" priority="3" operator="equal" aboveAverage="0" equalAverage="0" bottom="0" percent="0" rank="0" text="" dxfId="1">
      <formula>"OK"</formula>
    </cfRule>
  </conditionalFormatting>
  <conditionalFormatting sqref="E93">
    <cfRule type="cellIs" priority="4" operator="equal" aboveAverage="0" equalAverage="0" bottom="0" percent="0" rank="0" text="" dxfId="2">
      <formula>"위험"</formula>
    </cfRule>
    <cfRule type="cellIs" priority="5" operator="equal" aboveAverage="0" equalAverage="0" bottom="0" percent="0" rank="0" text="" dxfId="3">
      <formula>"주의"</formula>
    </cfRule>
    <cfRule type="cellIs" priority="6" operator="equal" aboveAverage="0" equalAverage="0" bottom="0" percent="0" rank="0" text="" dxfId="4">
      <formula>"정상"</formula>
    </cfRule>
  </conditionalFormatting>
  <dataValidations count="1">
    <dataValidation allowBlank="true" errorStyle="stop" operator="between" showDropDown="false" showErrorMessage="false" showInputMessage="false" sqref="E16:E21 E25 E27 E30:E33 E35 E37:E38 E40:E41 E43:E44 E46:E47 E49 E51:E55 E57 E59:E62 E65 E67:E70 E72:E74 E76:E80 E82:E86" type="list">
      <formula1>"OK,NG,N·A"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30"/>
  </cols>
  <sheetData>
    <row r="1" customFormat="false" ht="25.5" hidden="false" customHeight="true" outlineLevel="0" collapsed="false">
      <c r="A1" s="25" t="s">
        <v>190</v>
      </c>
      <c r="B1" s="25"/>
      <c r="C1" s="25"/>
    </row>
    <row r="2" customFormat="false" ht="15" hidden="false" customHeight="false" outlineLevel="0" collapsed="false">
      <c r="A2" s="6" t="s">
        <v>12</v>
      </c>
      <c r="B2" s="6" t="s">
        <v>13</v>
      </c>
      <c r="C2" s="6" t="s">
        <v>191</v>
      </c>
    </row>
    <row r="3" customFormat="false" ht="21.75" hidden="false" customHeight="true" outlineLevel="0" collapsed="false">
      <c r="A3" s="26" t="s">
        <v>34</v>
      </c>
      <c r="B3" s="14" t="s">
        <v>35</v>
      </c>
      <c r="C3" s="14" t="s">
        <v>192</v>
      </c>
    </row>
    <row r="4" customFormat="false" ht="21.75" hidden="false" customHeight="true" outlineLevel="0" collapsed="false">
      <c r="A4" s="27" t="s">
        <v>49</v>
      </c>
      <c r="B4" s="28" t="s">
        <v>50</v>
      </c>
      <c r="C4" s="28" t="s">
        <v>193</v>
      </c>
    </row>
    <row r="5" customFormat="false" ht="21.75" hidden="false" customHeight="true" outlineLevel="0" collapsed="false">
      <c r="A5" s="26" t="s">
        <v>80</v>
      </c>
      <c r="B5" s="10" t="s">
        <v>81</v>
      </c>
      <c r="C5" s="14" t="s">
        <v>194</v>
      </c>
    </row>
    <row r="6" customFormat="false" ht="21.75" hidden="false" customHeight="true" outlineLevel="0" collapsed="false">
      <c r="A6" s="27" t="s">
        <v>84</v>
      </c>
      <c r="B6" s="29" t="s">
        <v>195</v>
      </c>
      <c r="C6" s="28" t="s">
        <v>196</v>
      </c>
    </row>
    <row r="7" customFormat="false" ht="21.75" hidden="false" customHeight="true" outlineLevel="0" collapsed="false">
      <c r="A7" s="26" t="s">
        <v>87</v>
      </c>
      <c r="B7" s="14" t="s">
        <v>197</v>
      </c>
      <c r="C7" s="14" t="s">
        <v>198</v>
      </c>
    </row>
    <row r="8" customFormat="false" ht="21.75" hidden="false" customHeight="true" outlineLevel="0" collapsed="false">
      <c r="A8" s="27" t="s">
        <v>97</v>
      </c>
      <c r="B8" s="28" t="s">
        <v>199</v>
      </c>
      <c r="C8" s="28" t="s">
        <v>200</v>
      </c>
    </row>
    <row r="9" customFormat="false" ht="21.75" hidden="false" customHeight="true" outlineLevel="0" collapsed="false">
      <c r="A9" s="26" t="s">
        <v>122</v>
      </c>
      <c r="B9" s="14" t="s">
        <v>201</v>
      </c>
      <c r="C9" s="14" t="s">
        <v>202</v>
      </c>
    </row>
    <row r="10" customFormat="false" ht="21.75" hidden="false" customHeight="true" outlineLevel="0" collapsed="false">
      <c r="A10" s="27" t="s">
        <v>138</v>
      </c>
      <c r="B10" s="28" t="s">
        <v>203</v>
      </c>
      <c r="C10" s="28" t="s">
        <v>204</v>
      </c>
    </row>
    <row r="11" customFormat="false" ht="21.75" hidden="false" customHeight="true" outlineLevel="0" collapsed="false">
      <c r="A11" s="26" t="s">
        <v>141</v>
      </c>
      <c r="B11" s="10" t="s">
        <v>205</v>
      </c>
      <c r="C11" s="14" t="s">
        <v>206</v>
      </c>
    </row>
    <row r="12" customFormat="false" ht="21.75" hidden="false" customHeight="true" outlineLevel="0" collapsed="false">
      <c r="A12" s="27" t="s">
        <v>160</v>
      </c>
      <c r="B12" s="28" t="s">
        <v>207</v>
      </c>
      <c r="C12" s="28" t="s">
        <v>208</v>
      </c>
    </row>
    <row r="13" customFormat="false" ht="21.75" hidden="false" customHeight="true" outlineLevel="0" collapsed="false">
      <c r="A13" s="26" t="s">
        <v>178</v>
      </c>
      <c r="B13" s="14" t="s">
        <v>209</v>
      </c>
      <c r="C13" s="14" t="s">
        <v>210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2026-06-22T00:21:47Z</dcterms:created>
  <dc:creator>openpyxl</dc:creator>
  <dc:description/>
  <dc:language>en-US</dc:language>
  <cp:lastModifiedBy/>
  <dcterms:modified xsi:type="dcterms:W3CDTF">2026-06-22T00:21:47Z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